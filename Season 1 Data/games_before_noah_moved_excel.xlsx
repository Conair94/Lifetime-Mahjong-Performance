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D0A3F906-7C3F-4BDE-9E89-BD059E58129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 (2)" sheetId="3" r:id="rId1"/>
    <sheet name="Sheet1" sheetId="1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/>
  <c r="M2" i="3"/>
  <c r="N2" i="3"/>
  <c r="O2" i="3"/>
  <c r="L2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I108" i="3"/>
  <c r="H108" i="3"/>
  <c r="G108" i="3"/>
  <c r="F108" i="3"/>
  <c r="E108" i="3"/>
  <c r="I107" i="3"/>
  <c r="H107" i="3"/>
  <c r="G107" i="3"/>
  <c r="F107" i="3"/>
  <c r="E107" i="3"/>
  <c r="I106" i="3"/>
  <c r="H106" i="3"/>
  <c r="G106" i="3"/>
  <c r="F106" i="3"/>
  <c r="E106" i="3"/>
  <c r="I105" i="3"/>
  <c r="H105" i="3"/>
  <c r="G105" i="3"/>
  <c r="F105" i="3"/>
  <c r="E105" i="3"/>
  <c r="I104" i="3"/>
  <c r="H104" i="3"/>
  <c r="G104" i="3"/>
  <c r="F104" i="3"/>
  <c r="E104" i="3"/>
  <c r="I103" i="3"/>
  <c r="H103" i="3"/>
  <c r="G103" i="3"/>
  <c r="F103" i="3"/>
  <c r="E103" i="3"/>
  <c r="I102" i="3"/>
  <c r="H102" i="3"/>
  <c r="G102" i="3"/>
  <c r="F102" i="3"/>
  <c r="E102" i="3"/>
  <c r="I101" i="3"/>
  <c r="H101" i="3"/>
  <c r="G101" i="3"/>
  <c r="F101" i="3"/>
  <c r="E101" i="3"/>
  <c r="I100" i="3"/>
  <c r="H100" i="3"/>
  <c r="G100" i="3"/>
  <c r="F100" i="3"/>
  <c r="E100" i="3"/>
  <c r="I99" i="3"/>
  <c r="H99" i="3"/>
  <c r="G99" i="3"/>
  <c r="F99" i="3"/>
  <c r="E99" i="3"/>
  <c r="I98" i="3"/>
  <c r="H98" i="3"/>
  <c r="G98" i="3"/>
  <c r="F98" i="3"/>
  <c r="E98" i="3"/>
  <c r="I97" i="3"/>
  <c r="H97" i="3"/>
  <c r="G97" i="3"/>
  <c r="F97" i="3"/>
  <c r="E97" i="3"/>
  <c r="I96" i="3"/>
  <c r="H96" i="3"/>
  <c r="G96" i="3"/>
  <c r="F96" i="3"/>
  <c r="E96" i="3"/>
  <c r="I95" i="3"/>
  <c r="H95" i="3"/>
  <c r="G95" i="3"/>
  <c r="F95" i="3"/>
  <c r="E95" i="3"/>
  <c r="I94" i="3"/>
  <c r="H94" i="3"/>
  <c r="G94" i="3"/>
  <c r="F94" i="3"/>
  <c r="E94" i="3"/>
  <c r="I93" i="3"/>
  <c r="H93" i="3"/>
  <c r="G93" i="3"/>
  <c r="F93" i="3"/>
  <c r="E93" i="3"/>
  <c r="I92" i="3"/>
  <c r="H92" i="3"/>
  <c r="G92" i="3"/>
  <c r="F92" i="3"/>
  <c r="E92" i="3"/>
  <c r="I91" i="3"/>
  <c r="H91" i="3"/>
  <c r="G91" i="3"/>
  <c r="F91" i="3"/>
  <c r="E91" i="3"/>
  <c r="I90" i="3"/>
  <c r="H90" i="3"/>
  <c r="G90" i="3"/>
  <c r="F90" i="3"/>
  <c r="E90" i="3"/>
  <c r="I89" i="3"/>
  <c r="H89" i="3"/>
  <c r="G89" i="3"/>
  <c r="F89" i="3"/>
  <c r="E89" i="3"/>
  <c r="I88" i="3"/>
  <c r="H88" i="3"/>
  <c r="G88" i="3"/>
  <c r="F88" i="3"/>
  <c r="E88" i="3"/>
  <c r="I87" i="3"/>
  <c r="H87" i="3"/>
  <c r="G87" i="3"/>
  <c r="F87" i="3"/>
  <c r="E87" i="3"/>
  <c r="I86" i="3"/>
  <c r="H86" i="3"/>
  <c r="G86" i="3"/>
  <c r="F86" i="3"/>
  <c r="E86" i="3"/>
  <c r="I85" i="3"/>
  <c r="H85" i="3"/>
  <c r="G85" i="3"/>
  <c r="F85" i="3"/>
  <c r="E85" i="3"/>
  <c r="I84" i="3"/>
  <c r="H84" i="3"/>
  <c r="G84" i="3"/>
  <c r="F84" i="3"/>
  <c r="E84" i="3"/>
  <c r="I83" i="3"/>
  <c r="H83" i="3"/>
  <c r="G83" i="3"/>
  <c r="F83" i="3"/>
  <c r="E83" i="3"/>
  <c r="I82" i="3"/>
  <c r="H82" i="3"/>
  <c r="G82" i="3"/>
  <c r="F82" i="3"/>
  <c r="E82" i="3"/>
  <c r="I81" i="3"/>
  <c r="H81" i="3"/>
  <c r="G81" i="3"/>
  <c r="F81" i="3"/>
  <c r="E81" i="3"/>
  <c r="I80" i="3"/>
  <c r="H80" i="3"/>
  <c r="G80" i="3"/>
  <c r="F80" i="3"/>
  <c r="E80" i="3"/>
  <c r="I79" i="3"/>
  <c r="H79" i="3"/>
  <c r="G79" i="3"/>
  <c r="F79" i="3"/>
  <c r="E79" i="3"/>
  <c r="I78" i="3"/>
  <c r="H78" i="3"/>
  <c r="G78" i="3"/>
  <c r="F78" i="3"/>
  <c r="E78" i="3"/>
  <c r="I77" i="3"/>
  <c r="H77" i="3"/>
  <c r="G77" i="3"/>
  <c r="F77" i="3"/>
  <c r="E77" i="3"/>
  <c r="I76" i="3"/>
  <c r="H76" i="3"/>
  <c r="G76" i="3"/>
  <c r="F76" i="3"/>
  <c r="E76" i="3"/>
  <c r="I75" i="3"/>
  <c r="H75" i="3"/>
  <c r="G75" i="3"/>
  <c r="F75" i="3"/>
  <c r="E75" i="3"/>
  <c r="I74" i="3"/>
  <c r="H74" i="3"/>
  <c r="G74" i="3"/>
  <c r="F74" i="3"/>
  <c r="E74" i="3"/>
  <c r="I73" i="3"/>
  <c r="H73" i="3"/>
  <c r="G73" i="3"/>
  <c r="F73" i="3"/>
  <c r="E73" i="3"/>
  <c r="I72" i="3"/>
  <c r="H72" i="3"/>
  <c r="G72" i="3"/>
  <c r="F72" i="3"/>
  <c r="E72" i="3"/>
  <c r="I71" i="3"/>
  <c r="H71" i="3"/>
  <c r="G71" i="3"/>
  <c r="F71" i="3"/>
  <c r="E71" i="3"/>
  <c r="I70" i="3"/>
  <c r="H70" i="3"/>
  <c r="G70" i="3"/>
  <c r="F70" i="3"/>
  <c r="E70" i="3"/>
  <c r="I69" i="3"/>
  <c r="H69" i="3"/>
  <c r="G69" i="3"/>
  <c r="F69" i="3"/>
  <c r="E69" i="3"/>
  <c r="I68" i="3"/>
  <c r="H68" i="3"/>
  <c r="G68" i="3"/>
  <c r="F68" i="3"/>
  <c r="E68" i="3"/>
  <c r="I67" i="3"/>
  <c r="H67" i="3"/>
  <c r="G67" i="3"/>
  <c r="F67" i="3"/>
  <c r="E67" i="3"/>
  <c r="I66" i="3"/>
  <c r="H66" i="3"/>
  <c r="G66" i="3"/>
  <c r="F66" i="3"/>
  <c r="E66" i="3"/>
  <c r="I65" i="3"/>
  <c r="H65" i="3"/>
  <c r="G65" i="3"/>
  <c r="F65" i="3"/>
  <c r="E65" i="3"/>
  <c r="I64" i="3"/>
  <c r="H64" i="3"/>
  <c r="G64" i="3"/>
  <c r="F64" i="3"/>
  <c r="E64" i="3"/>
  <c r="I63" i="3"/>
  <c r="H63" i="3"/>
  <c r="G63" i="3"/>
  <c r="F63" i="3"/>
  <c r="E63" i="3"/>
  <c r="I62" i="3"/>
  <c r="H62" i="3"/>
  <c r="G62" i="3"/>
  <c r="F62" i="3"/>
  <c r="E62" i="3"/>
  <c r="I61" i="3"/>
  <c r="H61" i="3"/>
  <c r="G61" i="3"/>
  <c r="F61" i="3"/>
  <c r="E61" i="3"/>
  <c r="I60" i="3"/>
  <c r="H60" i="3"/>
  <c r="G60" i="3"/>
  <c r="F60" i="3"/>
  <c r="E60" i="3"/>
  <c r="I59" i="3"/>
  <c r="H59" i="3"/>
  <c r="G59" i="3"/>
  <c r="F59" i="3"/>
  <c r="E59" i="3"/>
  <c r="I58" i="3"/>
  <c r="H58" i="3"/>
  <c r="G58" i="3"/>
  <c r="F58" i="3"/>
  <c r="E58" i="3"/>
  <c r="I57" i="3"/>
  <c r="H57" i="3"/>
  <c r="G57" i="3"/>
  <c r="F57" i="3"/>
  <c r="E57" i="3"/>
  <c r="I56" i="3"/>
  <c r="H56" i="3"/>
  <c r="G56" i="3"/>
  <c r="F56" i="3"/>
  <c r="E56" i="3"/>
  <c r="I55" i="3"/>
  <c r="H55" i="3"/>
  <c r="G55" i="3"/>
  <c r="F55" i="3"/>
  <c r="E55" i="3"/>
  <c r="I54" i="3"/>
  <c r="H54" i="3"/>
  <c r="G54" i="3"/>
  <c r="F54" i="3"/>
  <c r="E54" i="3"/>
  <c r="I53" i="3"/>
  <c r="H53" i="3"/>
  <c r="G53" i="3"/>
  <c r="F53" i="3"/>
  <c r="E53" i="3"/>
  <c r="I52" i="3"/>
  <c r="H52" i="3"/>
  <c r="G52" i="3"/>
  <c r="F52" i="3"/>
  <c r="E52" i="3"/>
  <c r="I51" i="3"/>
  <c r="H51" i="3"/>
  <c r="G51" i="3"/>
  <c r="F51" i="3"/>
  <c r="E51" i="3"/>
  <c r="I50" i="3"/>
  <c r="H50" i="3"/>
  <c r="G50" i="3"/>
  <c r="F50" i="3"/>
  <c r="E50" i="3"/>
  <c r="I49" i="3"/>
  <c r="H49" i="3"/>
  <c r="G49" i="3"/>
  <c r="F49" i="3"/>
  <c r="E49" i="3"/>
  <c r="I48" i="3"/>
  <c r="H48" i="3"/>
  <c r="G48" i="3"/>
  <c r="F48" i="3"/>
  <c r="E48" i="3"/>
  <c r="I47" i="3"/>
  <c r="H47" i="3"/>
  <c r="G47" i="3"/>
  <c r="F47" i="3"/>
  <c r="E47" i="3"/>
  <c r="I46" i="3"/>
  <c r="H46" i="3"/>
  <c r="G46" i="3"/>
  <c r="F46" i="3"/>
  <c r="E46" i="3"/>
  <c r="I45" i="3"/>
  <c r="H45" i="3"/>
  <c r="G45" i="3"/>
  <c r="F45" i="3"/>
  <c r="E45" i="3"/>
  <c r="I44" i="3"/>
  <c r="H44" i="3"/>
  <c r="G44" i="3"/>
  <c r="F44" i="3"/>
  <c r="E44" i="3"/>
  <c r="I43" i="3"/>
  <c r="H43" i="3"/>
  <c r="G43" i="3"/>
  <c r="F43" i="3"/>
  <c r="E43" i="3"/>
  <c r="I42" i="3"/>
  <c r="H42" i="3"/>
  <c r="G42" i="3"/>
  <c r="F42" i="3"/>
  <c r="E42" i="3"/>
  <c r="I41" i="3"/>
  <c r="H41" i="3"/>
  <c r="G41" i="3"/>
  <c r="F41" i="3"/>
  <c r="E41" i="3"/>
  <c r="I40" i="3"/>
  <c r="H40" i="3"/>
  <c r="G40" i="3"/>
  <c r="F40" i="3"/>
  <c r="E40" i="3"/>
  <c r="I39" i="3"/>
  <c r="H39" i="3"/>
  <c r="G39" i="3"/>
  <c r="F39" i="3"/>
  <c r="E39" i="3"/>
  <c r="I38" i="3"/>
  <c r="H38" i="3"/>
  <c r="G38" i="3"/>
  <c r="F38" i="3"/>
  <c r="E38" i="3"/>
  <c r="I37" i="3"/>
  <c r="H37" i="3"/>
  <c r="G37" i="3"/>
  <c r="F37" i="3"/>
  <c r="E37" i="3"/>
  <c r="I36" i="3"/>
  <c r="H36" i="3"/>
  <c r="G36" i="3"/>
  <c r="F36" i="3"/>
  <c r="E36" i="3"/>
  <c r="I35" i="3"/>
  <c r="H35" i="3"/>
  <c r="G35" i="3"/>
  <c r="F35" i="3"/>
  <c r="E35" i="3"/>
  <c r="I34" i="3"/>
  <c r="H34" i="3"/>
  <c r="G34" i="3"/>
  <c r="F34" i="3"/>
  <c r="E34" i="3"/>
  <c r="I33" i="3"/>
  <c r="H33" i="3"/>
  <c r="G33" i="3"/>
  <c r="F33" i="3"/>
  <c r="E33" i="3"/>
  <c r="I32" i="3"/>
  <c r="H32" i="3"/>
  <c r="G32" i="3"/>
  <c r="F32" i="3"/>
  <c r="E32" i="3"/>
  <c r="I31" i="3"/>
  <c r="H31" i="3"/>
  <c r="G31" i="3"/>
  <c r="F31" i="3"/>
  <c r="E31" i="3"/>
  <c r="I30" i="3"/>
  <c r="H30" i="3"/>
  <c r="G30" i="3"/>
  <c r="F30" i="3"/>
  <c r="E30" i="3"/>
  <c r="I29" i="3"/>
  <c r="H29" i="3"/>
  <c r="G29" i="3"/>
  <c r="F29" i="3"/>
  <c r="E29" i="3"/>
  <c r="I28" i="3"/>
  <c r="H28" i="3"/>
  <c r="G28" i="3"/>
  <c r="F28" i="3"/>
  <c r="E28" i="3"/>
  <c r="I27" i="3"/>
  <c r="H27" i="3"/>
  <c r="G27" i="3"/>
  <c r="F27" i="3"/>
  <c r="E27" i="3"/>
  <c r="I26" i="3"/>
  <c r="H26" i="3"/>
  <c r="G26" i="3"/>
  <c r="F26" i="3"/>
  <c r="E26" i="3"/>
  <c r="I25" i="3"/>
  <c r="H25" i="3"/>
  <c r="G25" i="3"/>
  <c r="F25" i="3"/>
  <c r="E25" i="3"/>
  <c r="I24" i="3"/>
  <c r="H24" i="3"/>
  <c r="G24" i="3"/>
  <c r="F24" i="3"/>
  <c r="E24" i="3"/>
  <c r="I23" i="3"/>
  <c r="H23" i="3"/>
  <c r="G23" i="3"/>
  <c r="F23" i="3"/>
  <c r="E23" i="3"/>
  <c r="I22" i="3"/>
  <c r="H22" i="3"/>
  <c r="G22" i="3"/>
  <c r="F22" i="3"/>
  <c r="E22" i="3"/>
  <c r="I21" i="3"/>
  <c r="H21" i="3"/>
  <c r="G21" i="3"/>
  <c r="F21" i="3"/>
  <c r="E21" i="3"/>
  <c r="I20" i="3"/>
  <c r="H20" i="3"/>
  <c r="G20" i="3"/>
  <c r="F20" i="3"/>
  <c r="E20" i="3"/>
  <c r="I19" i="3"/>
  <c r="H19" i="3"/>
  <c r="G19" i="3"/>
  <c r="F19" i="3"/>
  <c r="E19" i="3"/>
  <c r="I18" i="3"/>
  <c r="H18" i="3"/>
  <c r="G18" i="3"/>
  <c r="F18" i="3"/>
  <c r="E18" i="3"/>
  <c r="I17" i="3"/>
  <c r="H17" i="3"/>
  <c r="G17" i="3"/>
  <c r="F17" i="3"/>
  <c r="E17" i="3"/>
  <c r="I16" i="3"/>
  <c r="H16" i="3"/>
  <c r="G16" i="3"/>
  <c r="F16" i="3"/>
  <c r="E16" i="3"/>
  <c r="I15" i="3"/>
  <c r="H15" i="3"/>
  <c r="G15" i="3"/>
  <c r="F15" i="3"/>
  <c r="E15" i="3"/>
  <c r="I14" i="3"/>
  <c r="H14" i="3"/>
  <c r="G14" i="3"/>
  <c r="F14" i="3"/>
  <c r="E14" i="3"/>
  <c r="I13" i="3"/>
  <c r="H13" i="3"/>
  <c r="G13" i="3"/>
  <c r="F13" i="3"/>
  <c r="E13" i="3"/>
  <c r="I12" i="3"/>
  <c r="H12" i="3"/>
  <c r="G12" i="3"/>
  <c r="F12" i="3"/>
  <c r="E12" i="3"/>
  <c r="I11" i="3"/>
  <c r="H11" i="3"/>
  <c r="G11" i="3"/>
  <c r="F11" i="3"/>
  <c r="E11" i="3"/>
  <c r="I10" i="3"/>
  <c r="H10" i="3"/>
  <c r="G10" i="3"/>
  <c r="F10" i="3"/>
  <c r="E10" i="3"/>
  <c r="P9" i="3"/>
  <c r="O9" i="3"/>
  <c r="N9" i="3"/>
  <c r="M9" i="3"/>
  <c r="L9" i="3"/>
  <c r="I9" i="3"/>
  <c r="H9" i="3"/>
  <c r="G9" i="3"/>
  <c r="F9" i="3"/>
  <c r="E9" i="3"/>
  <c r="P8" i="3"/>
  <c r="O8" i="3"/>
  <c r="N8" i="3"/>
  <c r="M8" i="3"/>
  <c r="L8" i="3"/>
  <c r="I8" i="3"/>
  <c r="H8" i="3"/>
  <c r="G8" i="3"/>
  <c r="F8" i="3"/>
  <c r="E8" i="3"/>
  <c r="P7" i="3"/>
  <c r="O7" i="3"/>
  <c r="N7" i="3"/>
  <c r="M7" i="3"/>
  <c r="L7" i="3"/>
  <c r="I7" i="3"/>
  <c r="H7" i="3"/>
  <c r="G7" i="3"/>
  <c r="F7" i="3"/>
  <c r="E7" i="3"/>
  <c r="P6" i="3"/>
  <c r="O6" i="3"/>
  <c r="N6" i="3"/>
  <c r="M6" i="3"/>
  <c r="L6" i="3"/>
  <c r="I6" i="3"/>
  <c r="H6" i="3"/>
  <c r="G6" i="3"/>
  <c r="F6" i="3"/>
  <c r="E6" i="3"/>
  <c r="I5" i="3"/>
  <c r="H5" i="3"/>
  <c r="G5" i="3"/>
  <c r="F5" i="3"/>
  <c r="E5" i="3"/>
  <c r="P4" i="3"/>
  <c r="O4" i="3"/>
  <c r="N4" i="3"/>
  <c r="M4" i="3"/>
  <c r="L4" i="3"/>
  <c r="I4" i="3"/>
  <c r="H4" i="3"/>
  <c r="G4" i="3"/>
  <c r="F4" i="3"/>
  <c r="E4" i="3"/>
  <c r="P3" i="3"/>
  <c r="P5" i="3" s="1"/>
  <c r="O3" i="3"/>
  <c r="O5" i="3" s="1"/>
  <c r="N3" i="3"/>
  <c r="N5" i="3" s="1"/>
  <c r="M3" i="3"/>
  <c r="M5" i="3" s="1"/>
  <c r="L3" i="3"/>
  <c r="L5" i="3" s="1"/>
  <c r="I3" i="3"/>
  <c r="H3" i="3"/>
  <c r="G3" i="3"/>
  <c r="F3" i="3"/>
  <c r="E3" i="3"/>
  <c r="I2" i="3"/>
  <c r="H2" i="3"/>
  <c r="G2" i="3"/>
  <c r="F2" i="3"/>
  <c r="E2" i="3"/>
  <c r="O9" i="1"/>
  <c r="P9" i="1"/>
  <c r="Q9" i="1"/>
  <c r="R9" i="1"/>
  <c r="N9" i="1"/>
  <c r="O8" i="1"/>
  <c r="P8" i="1"/>
  <c r="Q8" i="1"/>
  <c r="R8" i="1"/>
  <c r="N8" i="1"/>
  <c r="O7" i="1"/>
  <c r="P7" i="1"/>
  <c r="Q7" i="1"/>
  <c r="R7" i="1"/>
  <c r="N7" i="1"/>
  <c r="O4" i="1"/>
  <c r="P4" i="1"/>
  <c r="Q4" i="1"/>
  <c r="R4" i="1"/>
  <c r="N4" i="1"/>
  <c r="O3" i="1"/>
  <c r="P3" i="1"/>
  <c r="Q3" i="1"/>
  <c r="R3" i="1"/>
  <c r="N3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K10" i="1"/>
  <c r="J10" i="1"/>
  <c r="I10" i="1"/>
  <c r="H10" i="1"/>
  <c r="O2" i="1"/>
  <c r="P2" i="1"/>
  <c r="Q2" i="1"/>
  <c r="R2" i="1"/>
  <c r="N2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K2" i="1"/>
  <c r="J2" i="1"/>
  <c r="I2" i="1"/>
  <c r="H3" i="1"/>
  <c r="H4" i="1"/>
  <c r="H5" i="1"/>
  <c r="H6" i="1"/>
  <c r="H7" i="1"/>
  <c r="H8" i="1"/>
  <c r="H9" i="1"/>
  <c r="H2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49" i="1"/>
  <c r="G50" i="1"/>
  <c r="G51" i="1"/>
  <c r="G52" i="1"/>
  <c r="G53" i="1"/>
  <c r="G54" i="1"/>
  <c r="G66" i="1"/>
  <c r="G67" i="1"/>
  <c r="G68" i="1"/>
  <c r="G69" i="1"/>
  <c r="G70" i="1"/>
  <c r="G71" i="1"/>
  <c r="G72" i="1"/>
  <c r="G73" i="1"/>
  <c r="G74" i="1"/>
  <c r="G75" i="1"/>
  <c r="G76" i="1"/>
  <c r="G55" i="1"/>
  <c r="G56" i="1"/>
  <c r="G57" i="1"/>
  <c r="G58" i="1"/>
  <c r="G59" i="1"/>
  <c r="G60" i="1"/>
  <c r="G61" i="1"/>
  <c r="G62" i="1"/>
  <c r="G63" i="1"/>
  <c r="G64" i="1"/>
  <c r="G6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O6" i="1"/>
  <c r="P6" i="1"/>
  <c r="Q6" i="1"/>
  <c r="R6" i="1"/>
  <c r="N6" i="1"/>
  <c r="O5" i="1"/>
  <c r="P5" i="1"/>
  <c r="Q5" i="1"/>
  <c r="R5" i="1"/>
  <c r="N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77" i="1"/>
  <c r="G78" i="1"/>
  <c r="G79" i="1"/>
  <c r="G80" i="1"/>
  <c r="G81" i="1"/>
  <c r="G82" i="1"/>
  <c r="G83" i="1"/>
  <c r="G84" i="1"/>
  <c r="G85" i="1"/>
  <c r="G40" i="1"/>
  <c r="G41" i="1"/>
  <c r="G42" i="1"/>
  <c r="G43" i="1"/>
  <c r="G44" i="1"/>
  <c r="G45" i="1"/>
  <c r="G46" i="1"/>
  <c r="G47" i="1"/>
  <c r="G48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Noah Patton</author>
  </authors>
  <commentList>
    <comment ref="K1" authorId="0" shapeId="0" xr:uid="{C16CF820-5E7D-4A11-8656-F4DB115F7B85}">
      <text>
        <r>
          <rPr>
            <sz val="11"/>
            <color theme="1"/>
            <rFont val="Aptos Narrow"/>
            <family val="2"/>
            <scheme val="minor"/>
          </rPr>
          <t xml:space="preserve">Noah Patton:
All measures are calculated starting at Row 10 to involve all four parties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Noah Patton</author>
  </authors>
  <commentList>
    <comment ref="M1" authorId="0" shapeId="0" xr:uid="{4EF34B91-8F24-4DF8-A394-3BF47E6B7D9F}">
      <text>
        <r>
          <rPr>
            <sz val="11"/>
            <color theme="1"/>
            <rFont val="Aptos Narrow"/>
            <family val="2"/>
            <scheme val="minor"/>
          </rPr>
          <t xml:space="preserve">Noah Patton:
All measures are calculated starting at Row 10 to involve all four parties 
</t>
        </r>
      </text>
    </comment>
  </commentList>
</comments>
</file>

<file path=xl/sharedStrings.xml><?xml version="1.0" encoding="utf-8"?>
<sst xmlns="http://schemas.openxmlformats.org/spreadsheetml/2006/main" count="63" uniqueCount="24">
  <si>
    <t>Sam</t>
  </si>
  <si>
    <t>Connor</t>
  </si>
  <si>
    <t>Helio</t>
  </si>
  <si>
    <t>Noah</t>
  </si>
  <si>
    <t>VALID=0</t>
  </si>
  <si>
    <t>Running Total</t>
  </si>
  <si>
    <t>Column2</t>
  </si>
  <si>
    <t>Column3</t>
  </si>
  <si>
    <t>Column4</t>
  </si>
  <si>
    <t>Measure</t>
  </si>
  <si>
    <t>Oscar</t>
  </si>
  <si>
    <t>Net Points</t>
  </si>
  <si>
    <t>Hands Won</t>
  </si>
  <si>
    <t>Hands Lost</t>
  </si>
  <si>
    <t>Win Rate</t>
  </si>
  <si>
    <t>Biggest Win</t>
  </si>
  <si>
    <t>Avg. Win</t>
  </si>
  <si>
    <t>Avg. Loss</t>
  </si>
  <si>
    <t>Avg. Value</t>
  </si>
  <si>
    <t>Date</t>
  </si>
  <si>
    <t>Hand</t>
  </si>
  <si>
    <t>MS</t>
  </si>
  <si>
    <t>After 1/31/2025 1</t>
  </si>
  <si>
    <t>After 1/31/2025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</si>
</sst>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9" fontId="0" fillId="0" borderId="0" xfId="0" applyNumberFormat="1"/>
    <xf numFmtId="0" fontId="0" fillId="0" borderId="1" xfId="0" applyBorder="1"/>
    <xf numFmtId="0" fontId="1" fillId="0" borderId="1" xfId="0" applyFont="1" applyBorder="1"/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2" borderId="0" xfId="0" applyFill="1"/>
    <xf numFmtId="0" fontId="0" fillId="2" borderId="1" xfId="0" applyFill="1" applyBorder="1"/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</cellXfs>
  <cellStyles count="1">
    <cellStyle name="Normal" xfId="0" builtinId="0"/>
  </cellStyles>
  <dxfs count="24">
    <dxf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Sam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Sheet2!$A$2:$A$100</c:f>
              <c:numCache>
                <c:formatCode>General</c:formatCode>
                <c:ptCount val="99"/>
                <c:pt idx="0">
                  <c:v>-16</c:v>
                </c:pt>
                <c:pt idx="1">
                  <c:v>-48</c:v>
                </c:pt>
                <c:pt idx="2">
                  <c:v>-64</c:v>
                </c:pt>
                <c:pt idx="3">
                  <c:v>-144</c:v>
                </c:pt>
                <c:pt idx="4">
                  <c:v>-80</c:v>
                </c:pt>
                <c:pt idx="5">
                  <c:v>-144</c:v>
                </c:pt>
                <c:pt idx="6">
                  <c:v>-208</c:v>
                </c:pt>
                <c:pt idx="7">
                  <c:v>-224</c:v>
                </c:pt>
                <c:pt idx="8">
                  <c:v>-240</c:v>
                </c:pt>
                <c:pt idx="9">
                  <c:v>-248</c:v>
                </c:pt>
                <c:pt idx="10">
                  <c:v>-264</c:v>
                </c:pt>
                <c:pt idx="11">
                  <c:v>-200</c:v>
                </c:pt>
                <c:pt idx="12">
                  <c:v>-232</c:v>
                </c:pt>
                <c:pt idx="13">
                  <c:v>-296</c:v>
                </c:pt>
                <c:pt idx="14">
                  <c:v>-304</c:v>
                </c:pt>
                <c:pt idx="15">
                  <c:v>-624</c:v>
                </c:pt>
                <c:pt idx="16">
                  <c:v>-688</c:v>
                </c:pt>
                <c:pt idx="17">
                  <c:v>-432</c:v>
                </c:pt>
                <c:pt idx="18">
                  <c:v>-464</c:v>
                </c:pt>
                <c:pt idx="19">
                  <c:v>-528</c:v>
                </c:pt>
                <c:pt idx="20">
                  <c:v>-592</c:v>
                </c:pt>
                <c:pt idx="21">
                  <c:v>-912</c:v>
                </c:pt>
                <c:pt idx="22">
                  <c:v>-928</c:v>
                </c:pt>
                <c:pt idx="23">
                  <c:v>-960</c:v>
                </c:pt>
                <c:pt idx="24">
                  <c:v>-1120</c:v>
                </c:pt>
                <c:pt idx="25">
                  <c:v>-1248</c:v>
                </c:pt>
                <c:pt idx="26">
                  <c:v>-1312</c:v>
                </c:pt>
                <c:pt idx="27">
                  <c:v>-1248</c:v>
                </c:pt>
                <c:pt idx="28">
                  <c:v>-1312</c:v>
                </c:pt>
                <c:pt idx="29">
                  <c:v>-1472</c:v>
                </c:pt>
                <c:pt idx="30">
                  <c:v>-1488</c:v>
                </c:pt>
                <c:pt idx="31">
                  <c:v>-1520</c:v>
                </c:pt>
                <c:pt idx="32">
                  <c:v>-1584</c:v>
                </c:pt>
                <c:pt idx="33">
                  <c:v>-944</c:v>
                </c:pt>
                <c:pt idx="34">
                  <c:v>-976</c:v>
                </c:pt>
                <c:pt idx="35">
                  <c:v>-992</c:v>
                </c:pt>
                <c:pt idx="36">
                  <c:v>-864</c:v>
                </c:pt>
                <c:pt idx="37">
                  <c:v>-872</c:v>
                </c:pt>
                <c:pt idx="38">
                  <c:v>-552</c:v>
                </c:pt>
                <c:pt idx="39">
                  <c:v>-712</c:v>
                </c:pt>
                <c:pt idx="40">
                  <c:v>-664</c:v>
                </c:pt>
                <c:pt idx="41">
                  <c:v>-792</c:v>
                </c:pt>
                <c:pt idx="42">
                  <c:v>-728</c:v>
                </c:pt>
                <c:pt idx="43">
                  <c:v>-472</c:v>
                </c:pt>
                <c:pt idx="44">
                  <c:v>-632</c:v>
                </c:pt>
                <c:pt idx="45">
                  <c:v>-648</c:v>
                </c:pt>
                <c:pt idx="46">
                  <c:v>-456</c:v>
                </c:pt>
                <c:pt idx="47">
                  <c:v>-472</c:v>
                </c:pt>
                <c:pt idx="48">
                  <c:v>-600</c:v>
                </c:pt>
                <c:pt idx="49">
                  <c:v>-616</c:v>
                </c:pt>
                <c:pt idx="50">
                  <c:v>-552</c:v>
                </c:pt>
                <c:pt idx="51">
                  <c:v>-584</c:v>
                </c:pt>
                <c:pt idx="52">
                  <c:v>-520</c:v>
                </c:pt>
                <c:pt idx="53">
                  <c:v>-528</c:v>
                </c:pt>
                <c:pt idx="54">
                  <c:v>-536</c:v>
                </c:pt>
                <c:pt idx="55">
                  <c:v>-600</c:v>
                </c:pt>
                <c:pt idx="56">
                  <c:v>-616</c:v>
                </c:pt>
                <c:pt idx="57">
                  <c:v>-744</c:v>
                </c:pt>
                <c:pt idx="58">
                  <c:v>-872</c:v>
                </c:pt>
                <c:pt idx="59">
                  <c:v>-888</c:v>
                </c:pt>
                <c:pt idx="60">
                  <c:v>-792</c:v>
                </c:pt>
                <c:pt idx="61">
                  <c:v>-824</c:v>
                </c:pt>
                <c:pt idx="62">
                  <c:v>-856</c:v>
                </c:pt>
                <c:pt idx="63">
                  <c:v>-936</c:v>
                </c:pt>
                <c:pt idx="64">
                  <c:v>-952</c:v>
                </c:pt>
                <c:pt idx="65">
                  <c:v>-1080</c:v>
                </c:pt>
                <c:pt idx="66">
                  <c:v>-824</c:v>
                </c:pt>
                <c:pt idx="67">
                  <c:v>-888</c:v>
                </c:pt>
                <c:pt idx="68">
                  <c:v>-1016</c:v>
                </c:pt>
                <c:pt idx="69">
                  <c:v>-1048</c:v>
                </c:pt>
                <c:pt idx="70">
                  <c:v>-1064</c:v>
                </c:pt>
                <c:pt idx="71">
                  <c:v>-1384</c:v>
                </c:pt>
                <c:pt idx="72">
                  <c:v>-1400</c:v>
                </c:pt>
                <c:pt idx="73">
                  <c:v>-1528</c:v>
                </c:pt>
                <c:pt idx="74">
                  <c:v>-1656</c:v>
                </c:pt>
                <c:pt idx="75">
                  <c:v>-1688</c:v>
                </c:pt>
                <c:pt idx="76">
                  <c:v>-1816</c:v>
                </c:pt>
                <c:pt idx="77">
                  <c:v>-1832</c:v>
                </c:pt>
                <c:pt idx="78">
                  <c:v>-1960</c:v>
                </c:pt>
                <c:pt idx="79">
                  <c:v>-2024</c:v>
                </c:pt>
                <c:pt idx="80">
                  <c:v>-2088</c:v>
                </c:pt>
                <c:pt idx="81">
                  <c:v>-2120</c:v>
                </c:pt>
                <c:pt idx="82">
                  <c:v>-2056</c:v>
                </c:pt>
                <c:pt idx="83">
                  <c:v>-2088</c:v>
                </c:pt>
                <c:pt idx="84">
                  <c:v>-2152</c:v>
                </c:pt>
                <c:pt idx="85">
                  <c:v>-1832</c:v>
                </c:pt>
                <c:pt idx="86">
                  <c:v>-1992</c:v>
                </c:pt>
                <c:pt idx="87">
                  <c:v>-2000</c:v>
                </c:pt>
                <c:pt idx="88">
                  <c:v>-2032</c:v>
                </c:pt>
                <c:pt idx="89">
                  <c:v>-2064</c:v>
                </c:pt>
                <c:pt idx="90">
                  <c:v>-2224</c:v>
                </c:pt>
                <c:pt idx="91">
                  <c:v>-2352</c:v>
                </c:pt>
                <c:pt idx="92">
                  <c:v>-2384</c:v>
                </c:pt>
                <c:pt idx="93">
                  <c:v>-2448</c:v>
                </c:pt>
                <c:pt idx="94">
                  <c:v>-2464</c:v>
                </c:pt>
                <c:pt idx="95">
                  <c:v>-2496</c:v>
                </c:pt>
                <c:pt idx="96">
                  <c:v>-2528</c:v>
                </c:pt>
                <c:pt idx="97">
                  <c:v>-2544</c:v>
                </c:pt>
                <c:pt idx="98">
                  <c:v>-2576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3C-4522-84CC-FDF13A3F657C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Connor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Sheet2!$B$2:$B$100</c:f>
              <c:numCache>
                <c:formatCode>General</c:formatCode>
                <c:ptCount val="99"/>
                <c:pt idx="0">
                  <c:v>64</c:v>
                </c:pt>
                <c:pt idx="1">
                  <c:v>48</c:v>
                </c:pt>
                <c:pt idx="2">
                  <c:v>112</c:v>
                </c:pt>
                <c:pt idx="3">
                  <c:v>32</c:v>
                </c:pt>
                <c:pt idx="4">
                  <c:v>0</c:v>
                </c:pt>
                <c:pt idx="5">
                  <c:v>-128</c:v>
                </c:pt>
                <c:pt idx="6">
                  <c:v>-192</c:v>
                </c:pt>
                <c:pt idx="7">
                  <c:v>-128</c:v>
                </c:pt>
                <c:pt idx="8">
                  <c:v>-160</c:v>
                </c:pt>
                <c:pt idx="9">
                  <c:v>-176</c:v>
                </c:pt>
                <c:pt idx="10">
                  <c:v>-208</c:v>
                </c:pt>
                <c:pt idx="11">
                  <c:v>-240</c:v>
                </c:pt>
                <c:pt idx="12">
                  <c:v>-256</c:v>
                </c:pt>
                <c:pt idx="13">
                  <c:v>0</c:v>
                </c:pt>
                <c:pt idx="14">
                  <c:v>32</c:v>
                </c:pt>
                <c:pt idx="15">
                  <c:v>-288</c:v>
                </c:pt>
                <c:pt idx="16">
                  <c:v>-352</c:v>
                </c:pt>
                <c:pt idx="17">
                  <c:v>-416</c:v>
                </c:pt>
                <c:pt idx="18">
                  <c:v>-432</c:v>
                </c:pt>
                <c:pt idx="19">
                  <c:v>-496</c:v>
                </c:pt>
                <c:pt idx="20">
                  <c:v>-560</c:v>
                </c:pt>
                <c:pt idx="21">
                  <c:v>-880</c:v>
                </c:pt>
                <c:pt idx="22">
                  <c:v>-816</c:v>
                </c:pt>
                <c:pt idx="23">
                  <c:v>-880</c:v>
                </c:pt>
                <c:pt idx="24">
                  <c:v>-1040</c:v>
                </c:pt>
                <c:pt idx="25">
                  <c:v>-1168</c:v>
                </c:pt>
                <c:pt idx="26">
                  <c:v>-912</c:v>
                </c:pt>
                <c:pt idx="27">
                  <c:v>-944</c:v>
                </c:pt>
                <c:pt idx="28">
                  <c:v>-1008</c:v>
                </c:pt>
                <c:pt idx="29">
                  <c:v>-1088</c:v>
                </c:pt>
                <c:pt idx="30">
                  <c:v>-1024</c:v>
                </c:pt>
                <c:pt idx="31">
                  <c:v>-1056</c:v>
                </c:pt>
                <c:pt idx="32">
                  <c:v>-800</c:v>
                </c:pt>
                <c:pt idx="33">
                  <c:v>-1120</c:v>
                </c:pt>
                <c:pt idx="34">
                  <c:v>-1152</c:v>
                </c:pt>
                <c:pt idx="35">
                  <c:v>-1104</c:v>
                </c:pt>
                <c:pt idx="36">
                  <c:v>-1136</c:v>
                </c:pt>
                <c:pt idx="37">
                  <c:v>-1144</c:v>
                </c:pt>
                <c:pt idx="38">
                  <c:v>-1224</c:v>
                </c:pt>
                <c:pt idx="39">
                  <c:v>-744</c:v>
                </c:pt>
                <c:pt idx="40">
                  <c:v>-760</c:v>
                </c:pt>
                <c:pt idx="41">
                  <c:v>-888</c:v>
                </c:pt>
                <c:pt idx="42">
                  <c:v>-920</c:v>
                </c:pt>
                <c:pt idx="43">
                  <c:v>-1048</c:v>
                </c:pt>
                <c:pt idx="44">
                  <c:v>-1208</c:v>
                </c:pt>
                <c:pt idx="45">
                  <c:v>-1144</c:v>
                </c:pt>
                <c:pt idx="46">
                  <c:v>-1208</c:v>
                </c:pt>
                <c:pt idx="47">
                  <c:v>-1144</c:v>
                </c:pt>
                <c:pt idx="48">
                  <c:v>-1272</c:v>
                </c:pt>
                <c:pt idx="49">
                  <c:v>-1208</c:v>
                </c:pt>
                <c:pt idx="50">
                  <c:v>-1240</c:v>
                </c:pt>
                <c:pt idx="51">
                  <c:v>-1272</c:v>
                </c:pt>
                <c:pt idx="52">
                  <c:v>-1288</c:v>
                </c:pt>
                <c:pt idx="53">
                  <c:v>-1296</c:v>
                </c:pt>
                <c:pt idx="54">
                  <c:v>-1304</c:v>
                </c:pt>
                <c:pt idx="55">
                  <c:v>-1432</c:v>
                </c:pt>
                <c:pt idx="56">
                  <c:v>-1448</c:v>
                </c:pt>
                <c:pt idx="57">
                  <c:v>-1192</c:v>
                </c:pt>
                <c:pt idx="58">
                  <c:v>-1256</c:v>
                </c:pt>
                <c:pt idx="59">
                  <c:v>-1264</c:v>
                </c:pt>
                <c:pt idx="60">
                  <c:v>-1296</c:v>
                </c:pt>
                <c:pt idx="61">
                  <c:v>-1328</c:v>
                </c:pt>
                <c:pt idx="62">
                  <c:v>-1360</c:v>
                </c:pt>
                <c:pt idx="63">
                  <c:v>-1040</c:v>
                </c:pt>
                <c:pt idx="64">
                  <c:v>-1056</c:v>
                </c:pt>
                <c:pt idx="65">
                  <c:v>-800</c:v>
                </c:pt>
                <c:pt idx="66">
                  <c:v>-864</c:v>
                </c:pt>
                <c:pt idx="67">
                  <c:v>-928</c:v>
                </c:pt>
                <c:pt idx="68">
                  <c:v>-1056</c:v>
                </c:pt>
                <c:pt idx="69">
                  <c:v>-1120</c:v>
                </c:pt>
                <c:pt idx="70">
                  <c:v>-1128</c:v>
                </c:pt>
                <c:pt idx="71">
                  <c:v>-168</c:v>
                </c:pt>
                <c:pt idx="72">
                  <c:v>-104</c:v>
                </c:pt>
                <c:pt idx="73">
                  <c:v>152</c:v>
                </c:pt>
                <c:pt idx="74">
                  <c:v>536</c:v>
                </c:pt>
                <c:pt idx="75">
                  <c:v>520</c:v>
                </c:pt>
                <c:pt idx="76">
                  <c:v>456</c:v>
                </c:pt>
                <c:pt idx="77">
                  <c:v>520</c:v>
                </c:pt>
                <c:pt idx="78">
                  <c:v>392</c:v>
                </c:pt>
                <c:pt idx="79">
                  <c:v>328</c:v>
                </c:pt>
                <c:pt idx="80">
                  <c:v>456</c:v>
                </c:pt>
                <c:pt idx="81">
                  <c:v>424</c:v>
                </c:pt>
                <c:pt idx="82">
                  <c:v>392</c:v>
                </c:pt>
                <c:pt idx="83">
                  <c:v>360</c:v>
                </c:pt>
                <c:pt idx="84">
                  <c:v>232</c:v>
                </c:pt>
                <c:pt idx="85">
                  <c:v>152</c:v>
                </c:pt>
                <c:pt idx="86">
                  <c:v>72</c:v>
                </c:pt>
                <c:pt idx="87">
                  <c:v>104</c:v>
                </c:pt>
                <c:pt idx="88">
                  <c:v>200</c:v>
                </c:pt>
                <c:pt idx="89">
                  <c:v>184</c:v>
                </c:pt>
                <c:pt idx="90">
                  <c:v>24</c:v>
                </c:pt>
                <c:pt idx="91">
                  <c:v>-40</c:v>
                </c:pt>
                <c:pt idx="92">
                  <c:v>-104</c:v>
                </c:pt>
                <c:pt idx="93">
                  <c:v>-136</c:v>
                </c:pt>
                <c:pt idx="94">
                  <c:v>-104</c:v>
                </c:pt>
                <c:pt idx="95">
                  <c:v>-120</c:v>
                </c:pt>
                <c:pt idx="96">
                  <c:v>-136</c:v>
                </c:pt>
                <c:pt idx="97">
                  <c:v>-152</c:v>
                </c:pt>
                <c:pt idx="98">
                  <c:v>-88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C-4522-84CC-FDF13A3F657C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Helio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Sheet2!$C$2:$C$100</c:f>
              <c:numCache>
                <c:formatCode>General</c:formatCode>
                <c:ptCount val="99"/>
                <c:pt idx="0">
                  <c:v>-16</c:v>
                </c:pt>
                <c:pt idx="1">
                  <c:v>-32</c:v>
                </c:pt>
                <c:pt idx="2">
                  <c:v>-64</c:v>
                </c:pt>
                <c:pt idx="3">
                  <c:v>256</c:v>
                </c:pt>
                <c:pt idx="4">
                  <c:v>240</c:v>
                </c:pt>
                <c:pt idx="5">
                  <c:v>176</c:v>
                </c:pt>
                <c:pt idx="6">
                  <c:v>48</c:v>
                </c:pt>
                <c:pt idx="7">
                  <c:v>32</c:v>
                </c:pt>
                <c:pt idx="8">
                  <c:v>96</c:v>
                </c:pt>
                <c:pt idx="9">
                  <c:v>128</c:v>
                </c:pt>
                <c:pt idx="10">
                  <c:v>192</c:v>
                </c:pt>
                <c:pt idx="11">
                  <c:v>176</c:v>
                </c:pt>
                <c:pt idx="12">
                  <c:v>160</c:v>
                </c:pt>
                <c:pt idx="13">
                  <c:v>32</c:v>
                </c:pt>
                <c:pt idx="14">
                  <c:v>24</c:v>
                </c:pt>
                <c:pt idx="15">
                  <c:v>-296</c:v>
                </c:pt>
                <c:pt idx="16">
                  <c:v>-424</c:v>
                </c:pt>
                <c:pt idx="17">
                  <c:v>-552</c:v>
                </c:pt>
                <c:pt idx="18">
                  <c:v>-488</c:v>
                </c:pt>
                <c:pt idx="19">
                  <c:v>-296</c:v>
                </c:pt>
                <c:pt idx="20">
                  <c:v>-104</c:v>
                </c:pt>
                <c:pt idx="21">
                  <c:v>856</c:v>
                </c:pt>
                <c:pt idx="22">
                  <c:v>840</c:v>
                </c:pt>
                <c:pt idx="23">
                  <c:v>968</c:v>
                </c:pt>
                <c:pt idx="24">
                  <c:v>808</c:v>
                </c:pt>
                <c:pt idx="25">
                  <c:v>680</c:v>
                </c:pt>
                <c:pt idx="26">
                  <c:v>552</c:v>
                </c:pt>
                <c:pt idx="27">
                  <c:v>536</c:v>
                </c:pt>
                <c:pt idx="28">
                  <c:v>792</c:v>
                </c:pt>
                <c:pt idx="29">
                  <c:v>712</c:v>
                </c:pt>
                <c:pt idx="30">
                  <c:v>680</c:v>
                </c:pt>
                <c:pt idx="31">
                  <c:v>808</c:v>
                </c:pt>
                <c:pt idx="32">
                  <c:v>680</c:v>
                </c:pt>
                <c:pt idx="33">
                  <c:v>520</c:v>
                </c:pt>
                <c:pt idx="34">
                  <c:v>616</c:v>
                </c:pt>
                <c:pt idx="35">
                  <c:v>600</c:v>
                </c:pt>
                <c:pt idx="36">
                  <c:v>568</c:v>
                </c:pt>
                <c:pt idx="37">
                  <c:v>552</c:v>
                </c:pt>
                <c:pt idx="38">
                  <c:v>392</c:v>
                </c:pt>
                <c:pt idx="39">
                  <c:v>232</c:v>
                </c:pt>
                <c:pt idx="40">
                  <c:v>216</c:v>
                </c:pt>
                <c:pt idx="41">
                  <c:v>88</c:v>
                </c:pt>
                <c:pt idx="42">
                  <c:v>72</c:v>
                </c:pt>
                <c:pt idx="43">
                  <c:v>8</c:v>
                </c:pt>
                <c:pt idx="44">
                  <c:v>488</c:v>
                </c:pt>
                <c:pt idx="45">
                  <c:v>472</c:v>
                </c:pt>
                <c:pt idx="46">
                  <c:v>408</c:v>
                </c:pt>
                <c:pt idx="47">
                  <c:v>392</c:v>
                </c:pt>
                <c:pt idx="48">
                  <c:v>264</c:v>
                </c:pt>
                <c:pt idx="49">
                  <c:v>232</c:v>
                </c:pt>
                <c:pt idx="50">
                  <c:v>216</c:v>
                </c:pt>
                <c:pt idx="51">
                  <c:v>184</c:v>
                </c:pt>
                <c:pt idx="52">
                  <c:v>152</c:v>
                </c:pt>
                <c:pt idx="53">
                  <c:v>184</c:v>
                </c:pt>
                <c:pt idx="54">
                  <c:v>216</c:v>
                </c:pt>
                <c:pt idx="55">
                  <c:v>152</c:v>
                </c:pt>
                <c:pt idx="56">
                  <c:v>120</c:v>
                </c:pt>
                <c:pt idx="57">
                  <c:v>56</c:v>
                </c:pt>
                <c:pt idx="58">
                  <c:v>-8</c:v>
                </c:pt>
                <c:pt idx="59">
                  <c:v>-16</c:v>
                </c:pt>
                <c:pt idx="60">
                  <c:v>-48</c:v>
                </c:pt>
                <c:pt idx="61">
                  <c:v>-80</c:v>
                </c:pt>
                <c:pt idx="62">
                  <c:v>16</c:v>
                </c:pt>
                <c:pt idx="63">
                  <c:v>-144</c:v>
                </c:pt>
                <c:pt idx="64">
                  <c:v>-176</c:v>
                </c:pt>
                <c:pt idx="65">
                  <c:v>-240</c:v>
                </c:pt>
                <c:pt idx="66">
                  <c:v>-368</c:v>
                </c:pt>
                <c:pt idx="67">
                  <c:v>-496</c:v>
                </c:pt>
                <c:pt idx="68">
                  <c:v>-624</c:v>
                </c:pt>
                <c:pt idx="69">
                  <c:v>-496</c:v>
                </c:pt>
                <c:pt idx="70">
                  <c:v>-464</c:v>
                </c:pt>
                <c:pt idx="71">
                  <c:v>-784</c:v>
                </c:pt>
                <c:pt idx="72">
                  <c:v>-800</c:v>
                </c:pt>
                <c:pt idx="73">
                  <c:v>-864</c:v>
                </c:pt>
                <c:pt idx="74">
                  <c:v>-992</c:v>
                </c:pt>
                <c:pt idx="75">
                  <c:v>-928</c:v>
                </c:pt>
                <c:pt idx="76">
                  <c:v>-672</c:v>
                </c:pt>
                <c:pt idx="77">
                  <c:v>-704</c:v>
                </c:pt>
                <c:pt idx="78">
                  <c:v>-320</c:v>
                </c:pt>
                <c:pt idx="79">
                  <c:v>-128</c:v>
                </c:pt>
                <c:pt idx="80">
                  <c:v>-160</c:v>
                </c:pt>
                <c:pt idx="81">
                  <c:v>-32</c:v>
                </c:pt>
                <c:pt idx="82">
                  <c:v>-48</c:v>
                </c:pt>
                <c:pt idx="83">
                  <c:v>-80</c:v>
                </c:pt>
                <c:pt idx="84">
                  <c:v>176</c:v>
                </c:pt>
                <c:pt idx="85">
                  <c:v>16</c:v>
                </c:pt>
                <c:pt idx="86">
                  <c:v>-64</c:v>
                </c:pt>
                <c:pt idx="87">
                  <c:v>-80</c:v>
                </c:pt>
                <c:pt idx="88">
                  <c:v>-112</c:v>
                </c:pt>
                <c:pt idx="89">
                  <c:v>-128</c:v>
                </c:pt>
                <c:pt idx="90">
                  <c:v>352</c:v>
                </c:pt>
                <c:pt idx="91">
                  <c:v>288</c:v>
                </c:pt>
                <c:pt idx="92">
                  <c:v>256</c:v>
                </c:pt>
                <c:pt idx="93">
                  <c:v>224</c:v>
                </c:pt>
                <c:pt idx="94">
                  <c:v>216</c:v>
                </c:pt>
                <c:pt idx="95">
                  <c:v>280</c:v>
                </c:pt>
                <c:pt idx="96">
                  <c:v>344</c:v>
                </c:pt>
                <c:pt idx="97">
                  <c:v>408</c:v>
                </c:pt>
                <c:pt idx="98">
                  <c:v>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C-4522-84CC-FDF13A3F657C}"/>
            </c:ext>
          </c:extLst>
        </c:ser>
        <c:ser>
          <c:idx val="3"/>
          <c:order val="3"/>
          <c:tx>
            <c:strRef>
              <c:f>Sheet2!$D$1</c:f>
              <c:strCache>
                <c:ptCount val="1"/>
                <c:pt idx="0">
                  <c:v>Noah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Sheet2!$D$2:$D$100</c:f>
              <c:numCache>
                <c:formatCode>General</c:formatCode>
                <c:ptCount val="99"/>
                <c:pt idx="0">
                  <c:v>-32</c:v>
                </c:pt>
                <c:pt idx="1">
                  <c:v>32</c:v>
                </c:pt>
                <c:pt idx="2">
                  <c:v>16</c:v>
                </c:pt>
                <c:pt idx="3">
                  <c:v>-144</c:v>
                </c:pt>
                <c:pt idx="4">
                  <c:v>-160</c:v>
                </c:pt>
                <c:pt idx="5">
                  <c:v>96</c:v>
                </c:pt>
                <c:pt idx="6">
                  <c:v>352</c:v>
                </c:pt>
                <c:pt idx="7">
                  <c:v>320</c:v>
                </c:pt>
                <c:pt idx="8">
                  <c:v>304</c:v>
                </c:pt>
                <c:pt idx="9">
                  <c:v>296</c:v>
                </c:pt>
                <c:pt idx="10">
                  <c:v>280</c:v>
                </c:pt>
                <c:pt idx="11">
                  <c:v>264</c:v>
                </c:pt>
                <c:pt idx="12">
                  <c:v>328</c:v>
                </c:pt>
                <c:pt idx="13">
                  <c:v>264</c:v>
                </c:pt>
                <c:pt idx="14">
                  <c:v>248</c:v>
                </c:pt>
                <c:pt idx="15">
                  <c:v>1208</c:v>
                </c:pt>
                <c:pt idx="16">
                  <c:v>1464</c:v>
                </c:pt>
                <c:pt idx="17">
                  <c:v>1400</c:v>
                </c:pt>
                <c:pt idx="18">
                  <c:v>1384</c:v>
                </c:pt>
                <c:pt idx="19">
                  <c:v>1320</c:v>
                </c:pt>
                <c:pt idx="20">
                  <c:v>1256</c:v>
                </c:pt>
                <c:pt idx="21">
                  <c:v>936</c:v>
                </c:pt>
                <c:pt idx="22">
                  <c:v>904</c:v>
                </c:pt>
                <c:pt idx="23">
                  <c:v>872</c:v>
                </c:pt>
                <c:pt idx="24">
                  <c:v>1352</c:v>
                </c:pt>
                <c:pt idx="25">
                  <c:v>1736</c:v>
                </c:pt>
                <c:pt idx="26">
                  <c:v>1672</c:v>
                </c:pt>
                <c:pt idx="27">
                  <c:v>1656</c:v>
                </c:pt>
                <c:pt idx="28">
                  <c:v>1528</c:v>
                </c:pt>
                <c:pt idx="29">
                  <c:v>1848</c:v>
                </c:pt>
                <c:pt idx="30">
                  <c:v>1832</c:v>
                </c:pt>
                <c:pt idx="31">
                  <c:v>1768</c:v>
                </c:pt>
                <c:pt idx="32">
                  <c:v>1704</c:v>
                </c:pt>
                <c:pt idx="33">
                  <c:v>1544</c:v>
                </c:pt>
                <c:pt idx="34">
                  <c:v>1512</c:v>
                </c:pt>
                <c:pt idx="35">
                  <c:v>1496</c:v>
                </c:pt>
                <c:pt idx="36">
                  <c:v>1432</c:v>
                </c:pt>
                <c:pt idx="37">
                  <c:v>1464</c:v>
                </c:pt>
                <c:pt idx="38">
                  <c:v>1384</c:v>
                </c:pt>
                <c:pt idx="39">
                  <c:v>1224</c:v>
                </c:pt>
                <c:pt idx="40">
                  <c:v>1208</c:v>
                </c:pt>
                <c:pt idx="41">
                  <c:v>1592</c:v>
                </c:pt>
                <c:pt idx="42">
                  <c:v>1576</c:v>
                </c:pt>
                <c:pt idx="43">
                  <c:v>1512</c:v>
                </c:pt>
                <c:pt idx="44">
                  <c:v>1352</c:v>
                </c:pt>
                <c:pt idx="45">
                  <c:v>1320</c:v>
                </c:pt>
                <c:pt idx="46">
                  <c:v>1256</c:v>
                </c:pt>
                <c:pt idx="47">
                  <c:v>1224</c:v>
                </c:pt>
                <c:pt idx="48">
                  <c:v>1608</c:v>
                </c:pt>
                <c:pt idx="49">
                  <c:v>1592</c:v>
                </c:pt>
                <c:pt idx="50">
                  <c:v>1576</c:v>
                </c:pt>
                <c:pt idx="51">
                  <c:v>1672</c:v>
                </c:pt>
                <c:pt idx="52">
                  <c:v>1656</c:v>
                </c:pt>
                <c:pt idx="53">
                  <c:v>1640</c:v>
                </c:pt>
                <c:pt idx="54">
                  <c:v>1624</c:v>
                </c:pt>
                <c:pt idx="55">
                  <c:v>1880</c:v>
                </c:pt>
                <c:pt idx="56">
                  <c:v>1944</c:v>
                </c:pt>
                <c:pt idx="57">
                  <c:v>1880</c:v>
                </c:pt>
                <c:pt idx="58">
                  <c:v>2136</c:v>
                </c:pt>
                <c:pt idx="59">
                  <c:v>2168</c:v>
                </c:pt>
                <c:pt idx="60">
                  <c:v>2136</c:v>
                </c:pt>
                <c:pt idx="61">
                  <c:v>2232</c:v>
                </c:pt>
                <c:pt idx="62">
                  <c:v>2200</c:v>
                </c:pt>
                <c:pt idx="63">
                  <c:v>2120</c:v>
                </c:pt>
                <c:pt idx="64">
                  <c:v>2184</c:v>
                </c:pt>
                <c:pt idx="65">
                  <c:v>2120</c:v>
                </c:pt>
                <c:pt idx="66">
                  <c:v>2056</c:v>
                </c:pt>
                <c:pt idx="67">
                  <c:v>2312</c:v>
                </c:pt>
                <c:pt idx="68">
                  <c:v>2696</c:v>
                </c:pt>
                <c:pt idx="69">
                  <c:v>2664</c:v>
                </c:pt>
                <c:pt idx="70">
                  <c:v>2656</c:v>
                </c:pt>
                <c:pt idx="71">
                  <c:v>2336</c:v>
                </c:pt>
                <c:pt idx="72">
                  <c:v>2304</c:v>
                </c:pt>
                <c:pt idx="73">
                  <c:v>2240</c:v>
                </c:pt>
                <c:pt idx="74">
                  <c:v>2112</c:v>
                </c:pt>
                <c:pt idx="75">
                  <c:v>2096</c:v>
                </c:pt>
                <c:pt idx="76">
                  <c:v>2032</c:v>
                </c:pt>
                <c:pt idx="77">
                  <c:v>2016</c:v>
                </c:pt>
                <c:pt idx="78">
                  <c:v>1888</c:v>
                </c:pt>
                <c:pt idx="79">
                  <c:v>1824</c:v>
                </c:pt>
                <c:pt idx="80">
                  <c:v>1792</c:v>
                </c:pt>
                <c:pt idx="81">
                  <c:v>1728</c:v>
                </c:pt>
                <c:pt idx="82">
                  <c:v>1712</c:v>
                </c:pt>
                <c:pt idx="83">
                  <c:v>1808</c:v>
                </c:pt>
                <c:pt idx="84">
                  <c:v>1744</c:v>
                </c:pt>
                <c:pt idx="85">
                  <c:v>1664</c:v>
                </c:pt>
                <c:pt idx="86">
                  <c:v>1984</c:v>
                </c:pt>
                <c:pt idx="87">
                  <c:v>1976</c:v>
                </c:pt>
                <c:pt idx="88">
                  <c:v>1944</c:v>
                </c:pt>
                <c:pt idx="89">
                  <c:v>2008</c:v>
                </c:pt>
                <c:pt idx="90">
                  <c:v>1848</c:v>
                </c:pt>
                <c:pt idx="91">
                  <c:v>2104</c:v>
                </c:pt>
                <c:pt idx="92">
                  <c:v>2232</c:v>
                </c:pt>
                <c:pt idx="93">
                  <c:v>2360</c:v>
                </c:pt>
                <c:pt idx="94">
                  <c:v>2352</c:v>
                </c:pt>
                <c:pt idx="95">
                  <c:v>2336</c:v>
                </c:pt>
                <c:pt idx="96">
                  <c:v>2320</c:v>
                </c:pt>
                <c:pt idx="97">
                  <c:v>2288</c:v>
                </c:pt>
                <c:pt idx="98">
                  <c:v>2272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C-4522-84CC-FDF13A3F6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6177928"/>
        <c:axId val="1876179976"/>
      </c:lineChart>
      <c:catAx>
        <c:axId val="1876177928"/>
        <c:scaling>
          <c:orientation val="minMax"/>
        </c:scaling>
        <c:delete val="1"/>
        <c:axPos val="b"/>
        <c:majorTickMark val="none"/>
        <c:minorTickMark val="none"/>
        <c:tickLblPos val="nextTo"/>
        <c:crossAx val="1876179976"/>
        <c:crosses val="autoZero"/>
        <c:auto val="1"/>
        <c:lblAlgn val="ctr"/>
        <c:lblOffset val="100"/>
        <c:noMultiLvlLbl val="0"/>
      </c:catAx>
      <c:valAx>
        <c:axId val="1876179976"/>
        <c:scaling>
          <c:orientation val="minMax"/>
          <c:max val="2700"/>
          <c:min val="-2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17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 Hand Value</a:t>
            </a:r>
          </a:p>
        </c:rich>
      </c:tx>
      <c:layout>
        <c:manualLayout>
          <c:xMode val="edge"/>
          <c:yMode val="edge"/>
          <c:x val="0.4132568227879748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Sheet2!$O$1</c:f>
              <c:strCache>
                <c:ptCount val="1"/>
                <c:pt idx="0">
                  <c:v>Sam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Sheet2!$O$2:$O$100</c:f>
              <c:numCache>
                <c:formatCode>General</c:formatCode>
                <c:ptCount val="99"/>
                <c:pt idx="0">
                  <c:v>-16</c:v>
                </c:pt>
                <c:pt idx="1">
                  <c:v>-24</c:v>
                </c:pt>
                <c:pt idx="2">
                  <c:v>-21.333333333333332</c:v>
                </c:pt>
                <c:pt idx="3">
                  <c:v>-36</c:v>
                </c:pt>
                <c:pt idx="4">
                  <c:v>-16</c:v>
                </c:pt>
                <c:pt idx="5">
                  <c:v>-24</c:v>
                </c:pt>
                <c:pt idx="6">
                  <c:v>-29.714285714285715</c:v>
                </c:pt>
                <c:pt idx="7">
                  <c:v>-28</c:v>
                </c:pt>
                <c:pt idx="8">
                  <c:v>-26.666666666666668</c:v>
                </c:pt>
                <c:pt idx="9">
                  <c:v>-24.8</c:v>
                </c:pt>
                <c:pt idx="10">
                  <c:v>-24</c:v>
                </c:pt>
                <c:pt idx="11">
                  <c:v>-16.666666666666668</c:v>
                </c:pt>
                <c:pt idx="12">
                  <c:v>-17.846153846153847</c:v>
                </c:pt>
                <c:pt idx="13">
                  <c:v>-21.142857142857142</c:v>
                </c:pt>
                <c:pt idx="14">
                  <c:v>-20.266666666666666</c:v>
                </c:pt>
                <c:pt idx="15">
                  <c:v>-39</c:v>
                </c:pt>
                <c:pt idx="16">
                  <c:v>-40.470588235294116</c:v>
                </c:pt>
                <c:pt idx="17">
                  <c:v>-24</c:v>
                </c:pt>
                <c:pt idx="18">
                  <c:v>-24.421052631578949</c:v>
                </c:pt>
                <c:pt idx="19">
                  <c:v>-26.4</c:v>
                </c:pt>
                <c:pt idx="20">
                  <c:v>-28.19047619047619</c:v>
                </c:pt>
                <c:pt idx="21">
                  <c:v>-41.454545454545453</c:v>
                </c:pt>
                <c:pt idx="22">
                  <c:v>-40.347826086956523</c:v>
                </c:pt>
                <c:pt idx="23">
                  <c:v>-40</c:v>
                </c:pt>
                <c:pt idx="24">
                  <c:v>-44.8</c:v>
                </c:pt>
                <c:pt idx="25">
                  <c:v>-48</c:v>
                </c:pt>
                <c:pt idx="26">
                  <c:v>-48.592592592592595</c:v>
                </c:pt>
                <c:pt idx="27">
                  <c:v>-44.571428571428569</c:v>
                </c:pt>
                <c:pt idx="28">
                  <c:v>-45.241379310344826</c:v>
                </c:pt>
                <c:pt idx="29">
                  <c:v>-49.06666666666667</c:v>
                </c:pt>
                <c:pt idx="30">
                  <c:v>-48</c:v>
                </c:pt>
                <c:pt idx="31">
                  <c:v>-47.5</c:v>
                </c:pt>
                <c:pt idx="32">
                  <c:v>-48</c:v>
                </c:pt>
                <c:pt idx="33">
                  <c:v>-27.764705882352942</c:v>
                </c:pt>
                <c:pt idx="34">
                  <c:v>-27.885714285714286</c:v>
                </c:pt>
                <c:pt idx="35">
                  <c:v>-27.555555555555557</c:v>
                </c:pt>
                <c:pt idx="36">
                  <c:v>-23.351351351351351</c:v>
                </c:pt>
                <c:pt idx="37">
                  <c:v>-22.94736842105263</c:v>
                </c:pt>
                <c:pt idx="38">
                  <c:v>-14.153846153846153</c:v>
                </c:pt>
                <c:pt idx="39">
                  <c:v>-17.8</c:v>
                </c:pt>
                <c:pt idx="40">
                  <c:v>-16.195121951219512</c:v>
                </c:pt>
                <c:pt idx="41">
                  <c:v>-18.857142857142858</c:v>
                </c:pt>
                <c:pt idx="42">
                  <c:v>-16.930232558139537</c:v>
                </c:pt>
                <c:pt idx="43">
                  <c:v>-10.727272727272727</c:v>
                </c:pt>
                <c:pt idx="44">
                  <c:v>-14.044444444444444</c:v>
                </c:pt>
                <c:pt idx="45">
                  <c:v>-14.086956521739131</c:v>
                </c:pt>
                <c:pt idx="46">
                  <c:v>-9.7021276595744688</c:v>
                </c:pt>
                <c:pt idx="47">
                  <c:v>-9.8333333333333339</c:v>
                </c:pt>
                <c:pt idx="48">
                  <c:v>-12.244897959183673</c:v>
                </c:pt>
                <c:pt idx="49">
                  <c:v>-12.32</c:v>
                </c:pt>
                <c:pt idx="50">
                  <c:v>-10.823529411764707</c:v>
                </c:pt>
                <c:pt idx="51">
                  <c:v>-11.23076923076923</c:v>
                </c:pt>
                <c:pt idx="52">
                  <c:v>-9.8113207547169807</c:v>
                </c:pt>
                <c:pt idx="53">
                  <c:v>-9.7777777777777786</c:v>
                </c:pt>
                <c:pt idx="54">
                  <c:v>-9.745454545454546</c:v>
                </c:pt>
                <c:pt idx="55">
                  <c:v>-10.714285714285714</c:v>
                </c:pt>
                <c:pt idx="56">
                  <c:v>-10.807017543859649</c:v>
                </c:pt>
                <c:pt idx="57">
                  <c:v>-12.827586206896552</c:v>
                </c:pt>
                <c:pt idx="58">
                  <c:v>-14.779661016949152</c:v>
                </c:pt>
                <c:pt idx="59">
                  <c:v>-14.8</c:v>
                </c:pt>
                <c:pt idx="60">
                  <c:v>-12.983606557377049</c:v>
                </c:pt>
                <c:pt idx="61">
                  <c:v>-13.290322580645162</c:v>
                </c:pt>
                <c:pt idx="62">
                  <c:v>-13.587301587301587</c:v>
                </c:pt>
                <c:pt idx="63">
                  <c:v>-14.625</c:v>
                </c:pt>
                <c:pt idx="64">
                  <c:v>-14.646153846153846</c:v>
                </c:pt>
                <c:pt idx="65">
                  <c:v>-16.363636363636363</c:v>
                </c:pt>
                <c:pt idx="66">
                  <c:v>-12.298507462686567</c:v>
                </c:pt>
                <c:pt idx="67">
                  <c:v>-13.058823529411764</c:v>
                </c:pt>
                <c:pt idx="68">
                  <c:v>-14.72463768115942</c:v>
                </c:pt>
                <c:pt idx="69">
                  <c:v>-14.971428571428572</c:v>
                </c:pt>
                <c:pt idx="70">
                  <c:v>-14.985915492957746</c:v>
                </c:pt>
                <c:pt idx="71">
                  <c:v>-19.222222222222221</c:v>
                </c:pt>
                <c:pt idx="72">
                  <c:v>-19.17808219178082</c:v>
                </c:pt>
                <c:pt idx="73">
                  <c:v>-20.648648648648649</c:v>
                </c:pt>
                <c:pt idx="74">
                  <c:v>-22.08</c:v>
                </c:pt>
                <c:pt idx="75">
                  <c:v>-22.210526315789473</c:v>
                </c:pt>
                <c:pt idx="76">
                  <c:v>-23.584415584415584</c:v>
                </c:pt>
                <c:pt idx="77">
                  <c:v>-23.487179487179485</c:v>
                </c:pt>
                <c:pt idx="78">
                  <c:v>-24.810126582278482</c:v>
                </c:pt>
                <c:pt idx="79">
                  <c:v>-25.3</c:v>
                </c:pt>
                <c:pt idx="80">
                  <c:v>-25.777777777777779</c:v>
                </c:pt>
                <c:pt idx="81">
                  <c:v>-25.853658536585368</c:v>
                </c:pt>
                <c:pt idx="82">
                  <c:v>-24.771084337349397</c:v>
                </c:pt>
                <c:pt idx="83">
                  <c:v>-24.857142857142858</c:v>
                </c:pt>
                <c:pt idx="84">
                  <c:v>-25.317647058823528</c:v>
                </c:pt>
                <c:pt idx="85">
                  <c:v>-21.302325581395348</c:v>
                </c:pt>
                <c:pt idx="86">
                  <c:v>-22.896551724137932</c:v>
                </c:pt>
                <c:pt idx="87">
                  <c:v>-22.727272727272727</c:v>
                </c:pt>
                <c:pt idx="88">
                  <c:v>-22.831460674157302</c:v>
                </c:pt>
                <c:pt idx="89">
                  <c:v>-22.933333333333334</c:v>
                </c:pt>
                <c:pt idx="90">
                  <c:v>-24.439560439560438</c:v>
                </c:pt>
                <c:pt idx="91">
                  <c:v>-25.565217391304348</c:v>
                </c:pt>
                <c:pt idx="92">
                  <c:v>-25.634408602150536</c:v>
                </c:pt>
                <c:pt idx="93">
                  <c:v>-26.042553191489361</c:v>
                </c:pt>
                <c:pt idx="94">
                  <c:v>-25.936842105263157</c:v>
                </c:pt>
                <c:pt idx="95">
                  <c:v>-26</c:v>
                </c:pt>
                <c:pt idx="96">
                  <c:v>-26.061855670103093</c:v>
                </c:pt>
                <c:pt idx="97">
                  <c:v>-25.959183673469386</c:v>
                </c:pt>
                <c:pt idx="98">
                  <c:v>-26.020202020202021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56-45B9-AC3F-F0789B09E015}"/>
            </c:ext>
          </c:extLst>
        </c:ser>
        <c:ser>
          <c:idx val="1"/>
          <c:order val="1"/>
          <c:tx>
            <c:strRef>
              <c:f>Sheet2!$P$1</c:f>
              <c:strCache>
                <c:ptCount val="1"/>
                <c:pt idx="0">
                  <c:v>Connor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Sheet2!$P$2:$P$100</c:f>
              <c:numCache>
                <c:formatCode>General</c:formatCode>
                <c:ptCount val="99"/>
                <c:pt idx="0">
                  <c:v>64</c:v>
                </c:pt>
                <c:pt idx="1">
                  <c:v>24</c:v>
                </c:pt>
                <c:pt idx="2">
                  <c:v>37.333333333333336</c:v>
                </c:pt>
                <c:pt idx="3">
                  <c:v>8</c:v>
                </c:pt>
                <c:pt idx="4">
                  <c:v>0</c:v>
                </c:pt>
                <c:pt idx="5">
                  <c:v>-21.333333333333332</c:v>
                </c:pt>
                <c:pt idx="6">
                  <c:v>-27.428571428571427</c:v>
                </c:pt>
                <c:pt idx="7">
                  <c:v>-16</c:v>
                </c:pt>
                <c:pt idx="8">
                  <c:v>-17.777777777777779</c:v>
                </c:pt>
                <c:pt idx="9">
                  <c:v>-17.600000000000001</c:v>
                </c:pt>
                <c:pt idx="10">
                  <c:v>-18.90909090909091</c:v>
                </c:pt>
                <c:pt idx="11">
                  <c:v>-20</c:v>
                </c:pt>
                <c:pt idx="12">
                  <c:v>-19.692307692307693</c:v>
                </c:pt>
                <c:pt idx="13">
                  <c:v>0</c:v>
                </c:pt>
                <c:pt idx="14">
                  <c:v>2.1333333333333333</c:v>
                </c:pt>
                <c:pt idx="15">
                  <c:v>-18</c:v>
                </c:pt>
                <c:pt idx="16">
                  <c:v>-20.705882352941178</c:v>
                </c:pt>
                <c:pt idx="17">
                  <c:v>-23.111111111111111</c:v>
                </c:pt>
                <c:pt idx="18">
                  <c:v>-22.736842105263158</c:v>
                </c:pt>
                <c:pt idx="19">
                  <c:v>-24.8</c:v>
                </c:pt>
                <c:pt idx="20">
                  <c:v>-26.666666666666668</c:v>
                </c:pt>
                <c:pt idx="21">
                  <c:v>-40</c:v>
                </c:pt>
                <c:pt idx="22">
                  <c:v>-35.478260869565219</c:v>
                </c:pt>
                <c:pt idx="23">
                  <c:v>-36.666666666666664</c:v>
                </c:pt>
                <c:pt idx="24">
                  <c:v>-41.6</c:v>
                </c:pt>
                <c:pt idx="25">
                  <c:v>-44.92307692307692</c:v>
                </c:pt>
                <c:pt idx="26">
                  <c:v>-33.777777777777779</c:v>
                </c:pt>
                <c:pt idx="27">
                  <c:v>-33.714285714285715</c:v>
                </c:pt>
                <c:pt idx="28">
                  <c:v>-34.758620689655174</c:v>
                </c:pt>
                <c:pt idx="29">
                  <c:v>-36.266666666666666</c:v>
                </c:pt>
                <c:pt idx="30">
                  <c:v>-33.032258064516128</c:v>
                </c:pt>
                <c:pt idx="31">
                  <c:v>-33</c:v>
                </c:pt>
                <c:pt idx="32">
                  <c:v>-24.242424242424242</c:v>
                </c:pt>
                <c:pt idx="33">
                  <c:v>-32.941176470588232</c:v>
                </c:pt>
                <c:pt idx="34">
                  <c:v>-32.914285714285711</c:v>
                </c:pt>
                <c:pt idx="35">
                  <c:v>-30.666666666666668</c:v>
                </c:pt>
                <c:pt idx="36">
                  <c:v>-30.702702702702702</c:v>
                </c:pt>
                <c:pt idx="37">
                  <c:v>-30.105263157894736</c:v>
                </c:pt>
                <c:pt idx="38">
                  <c:v>-31.384615384615383</c:v>
                </c:pt>
                <c:pt idx="39">
                  <c:v>-18.600000000000001</c:v>
                </c:pt>
                <c:pt idx="40">
                  <c:v>-18.536585365853657</c:v>
                </c:pt>
                <c:pt idx="41">
                  <c:v>-21.142857142857142</c:v>
                </c:pt>
                <c:pt idx="42">
                  <c:v>-21.395348837209301</c:v>
                </c:pt>
                <c:pt idx="43">
                  <c:v>-23.818181818181817</c:v>
                </c:pt>
                <c:pt idx="44">
                  <c:v>-26.844444444444445</c:v>
                </c:pt>
                <c:pt idx="45">
                  <c:v>-24.869565217391305</c:v>
                </c:pt>
                <c:pt idx="46">
                  <c:v>-25.702127659574469</c:v>
                </c:pt>
                <c:pt idx="47">
                  <c:v>-23.833333333333332</c:v>
                </c:pt>
                <c:pt idx="48">
                  <c:v>-25.959183673469386</c:v>
                </c:pt>
                <c:pt idx="49">
                  <c:v>-24.16</c:v>
                </c:pt>
                <c:pt idx="50">
                  <c:v>-24.313725490196077</c:v>
                </c:pt>
                <c:pt idx="51">
                  <c:v>-24.46153846153846</c:v>
                </c:pt>
                <c:pt idx="52">
                  <c:v>-24.30188679245283</c:v>
                </c:pt>
                <c:pt idx="53">
                  <c:v>-24</c:v>
                </c:pt>
                <c:pt idx="54">
                  <c:v>-23.709090909090911</c:v>
                </c:pt>
                <c:pt idx="55">
                  <c:v>-25.571428571428573</c:v>
                </c:pt>
                <c:pt idx="56">
                  <c:v>-25.403508771929825</c:v>
                </c:pt>
                <c:pt idx="57">
                  <c:v>-20.551724137931036</c:v>
                </c:pt>
                <c:pt idx="58">
                  <c:v>-21.288135593220339</c:v>
                </c:pt>
                <c:pt idx="59">
                  <c:v>-21.066666666666666</c:v>
                </c:pt>
                <c:pt idx="60">
                  <c:v>-21.245901639344261</c:v>
                </c:pt>
                <c:pt idx="61">
                  <c:v>-21.419354838709676</c:v>
                </c:pt>
                <c:pt idx="62">
                  <c:v>-21.587301587301589</c:v>
                </c:pt>
                <c:pt idx="63">
                  <c:v>-16.25</c:v>
                </c:pt>
                <c:pt idx="64">
                  <c:v>-16.246153846153845</c:v>
                </c:pt>
                <c:pt idx="65">
                  <c:v>-12.121212121212121</c:v>
                </c:pt>
                <c:pt idx="66">
                  <c:v>-12.895522388059701</c:v>
                </c:pt>
                <c:pt idx="67">
                  <c:v>-13.647058823529411</c:v>
                </c:pt>
                <c:pt idx="68">
                  <c:v>-15.304347826086957</c:v>
                </c:pt>
                <c:pt idx="69">
                  <c:v>-16</c:v>
                </c:pt>
                <c:pt idx="70">
                  <c:v>-15.887323943661972</c:v>
                </c:pt>
                <c:pt idx="71">
                  <c:v>-2.3333333333333335</c:v>
                </c:pt>
                <c:pt idx="72">
                  <c:v>-1.4246575342465753</c:v>
                </c:pt>
                <c:pt idx="73">
                  <c:v>2.0540540540540539</c:v>
                </c:pt>
                <c:pt idx="74">
                  <c:v>7.1466666666666665</c:v>
                </c:pt>
                <c:pt idx="75">
                  <c:v>6.8421052631578947</c:v>
                </c:pt>
                <c:pt idx="76">
                  <c:v>5.9220779220779223</c:v>
                </c:pt>
                <c:pt idx="77">
                  <c:v>6.666666666666667</c:v>
                </c:pt>
                <c:pt idx="78">
                  <c:v>4.962025316455696</c:v>
                </c:pt>
                <c:pt idx="79">
                  <c:v>4.0999999999999996</c:v>
                </c:pt>
                <c:pt idx="80">
                  <c:v>5.6296296296296298</c:v>
                </c:pt>
                <c:pt idx="81">
                  <c:v>5.1707317073170733</c:v>
                </c:pt>
                <c:pt idx="82">
                  <c:v>4.7228915662650603</c:v>
                </c:pt>
                <c:pt idx="83">
                  <c:v>4.2857142857142856</c:v>
                </c:pt>
                <c:pt idx="84">
                  <c:v>2.7294117647058824</c:v>
                </c:pt>
                <c:pt idx="85">
                  <c:v>1.7674418604651163</c:v>
                </c:pt>
                <c:pt idx="86">
                  <c:v>0.82758620689655171</c:v>
                </c:pt>
                <c:pt idx="87">
                  <c:v>1.1818181818181819</c:v>
                </c:pt>
                <c:pt idx="88">
                  <c:v>2.2471910112359552</c:v>
                </c:pt>
                <c:pt idx="89">
                  <c:v>2.0444444444444443</c:v>
                </c:pt>
                <c:pt idx="90">
                  <c:v>0.26373626373626374</c:v>
                </c:pt>
                <c:pt idx="91">
                  <c:v>-0.43478260869565216</c:v>
                </c:pt>
                <c:pt idx="92">
                  <c:v>-1.118279569892473</c:v>
                </c:pt>
                <c:pt idx="93">
                  <c:v>-1.446808510638298</c:v>
                </c:pt>
                <c:pt idx="94">
                  <c:v>-1.0947368421052632</c:v>
                </c:pt>
                <c:pt idx="95">
                  <c:v>-1.25</c:v>
                </c:pt>
                <c:pt idx="96">
                  <c:v>-1.402061855670103</c:v>
                </c:pt>
                <c:pt idx="97">
                  <c:v>-1.5510204081632653</c:v>
                </c:pt>
                <c:pt idx="98">
                  <c:v>-0.88888888888888884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6-45B9-AC3F-F0789B09E015}"/>
            </c:ext>
          </c:extLst>
        </c:ser>
        <c:ser>
          <c:idx val="2"/>
          <c:order val="2"/>
          <c:tx>
            <c:strRef>
              <c:f>Sheet2!$Q$1</c:f>
              <c:strCache>
                <c:ptCount val="1"/>
                <c:pt idx="0">
                  <c:v>Helio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Sheet2!$Q$2:$Q$100</c:f>
              <c:numCache>
                <c:formatCode>General</c:formatCode>
                <c:ptCount val="99"/>
                <c:pt idx="0">
                  <c:v>-16</c:v>
                </c:pt>
                <c:pt idx="1">
                  <c:v>-16</c:v>
                </c:pt>
                <c:pt idx="2">
                  <c:v>-21.333333333333332</c:v>
                </c:pt>
                <c:pt idx="3">
                  <c:v>64</c:v>
                </c:pt>
                <c:pt idx="4">
                  <c:v>48</c:v>
                </c:pt>
                <c:pt idx="5">
                  <c:v>29.333333333333332</c:v>
                </c:pt>
                <c:pt idx="6">
                  <c:v>6.8571428571428568</c:v>
                </c:pt>
                <c:pt idx="7">
                  <c:v>4</c:v>
                </c:pt>
                <c:pt idx="8">
                  <c:v>10.666666666666666</c:v>
                </c:pt>
                <c:pt idx="9">
                  <c:v>12.8</c:v>
                </c:pt>
                <c:pt idx="10">
                  <c:v>17.454545454545453</c:v>
                </c:pt>
                <c:pt idx="11">
                  <c:v>14.666666666666666</c:v>
                </c:pt>
                <c:pt idx="12">
                  <c:v>12.307692307692308</c:v>
                </c:pt>
                <c:pt idx="13">
                  <c:v>2.2857142857142856</c:v>
                </c:pt>
                <c:pt idx="14">
                  <c:v>1.6</c:v>
                </c:pt>
                <c:pt idx="15">
                  <c:v>-18.5</c:v>
                </c:pt>
                <c:pt idx="16">
                  <c:v>-24.941176470588236</c:v>
                </c:pt>
                <c:pt idx="17">
                  <c:v>-30.666666666666668</c:v>
                </c:pt>
                <c:pt idx="18">
                  <c:v>-25.684210526315791</c:v>
                </c:pt>
                <c:pt idx="19">
                  <c:v>-14.8</c:v>
                </c:pt>
                <c:pt idx="20">
                  <c:v>-4.9523809523809526</c:v>
                </c:pt>
                <c:pt idx="21">
                  <c:v>38.909090909090907</c:v>
                </c:pt>
                <c:pt idx="22">
                  <c:v>36.521739130434781</c:v>
                </c:pt>
                <c:pt idx="23">
                  <c:v>40.333333333333336</c:v>
                </c:pt>
                <c:pt idx="24">
                  <c:v>32.32</c:v>
                </c:pt>
                <c:pt idx="25">
                  <c:v>26.153846153846153</c:v>
                </c:pt>
                <c:pt idx="26">
                  <c:v>20.444444444444443</c:v>
                </c:pt>
                <c:pt idx="27">
                  <c:v>19.142857142857142</c:v>
                </c:pt>
                <c:pt idx="28">
                  <c:v>27.310344827586206</c:v>
                </c:pt>
                <c:pt idx="29">
                  <c:v>23.733333333333334</c:v>
                </c:pt>
                <c:pt idx="30">
                  <c:v>21.93548387096774</c:v>
                </c:pt>
                <c:pt idx="31">
                  <c:v>25.25</c:v>
                </c:pt>
                <c:pt idx="32">
                  <c:v>20.606060606060606</c:v>
                </c:pt>
                <c:pt idx="33">
                  <c:v>15.294117647058824</c:v>
                </c:pt>
                <c:pt idx="34">
                  <c:v>17.600000000000001</c:v>
                </c:pt>
                <c:pt idx="35">
                  <c:v>16.666666666666668</c:v>
                </c:pt>
                <c:pt idx="36">
                  <c:v>15.351351351351351</c:v>
                </c:pt>
                <c:pt idx="37">
                  <c:v>14.526315789473685</c:v>
                </c:pt>
                <c:pt idx="38">
                  <c:v>10.051282051282051</c:v>
                </c:pt>
                <c:pt idx="39">
                  <c:v>5.8</c:v>
                </c:pt>
                <c:pt idx="40">
                  <c:v>5.2682926829268295</c:v>
                </c:pt>
                <c:pt idx="41">
                  <c:v>2.0952380952380953</c:v>
                </c:pt>
                <c:pt idx="42">
                  <c:v>1.6744186046511629</c:v>
                </c:pt>
                <c:pt idx="43">
                  <c:v>0.18181818181818182</c:v>
                </c:pt>
                <c:pt idx="44">
                  <c:v>10.844444444444445</c:v>
                </c:pt>
                <c:pt idx="45">
                  <c:v>10.260869565217391</c:v>
                </c:pt>
                <c:pt idx="46">
                  <c:v>8.6808510638297864</c:v>
                </c:pt>
                <c:pt idx="47">
                  <c:v>8.1666666666666661</c:v>
                </c:pt>
                <c:pt idx="48">
                  <c:v>5.3877551020408161</c:v>
                </c:pt>
                <c:pt idx="49">
                  <c:v>4.6399999999999997</c:v>
                </c:pt>
                <c:pt idx="50">
                  <c:v>4.2352941176470589</c:v>
                </c:pt>
                <c:pt idx="51">
                  <c:v>3.5384615384615383</c:v>
                </c:pt>
                <c:pt idx="52">
                  <c:v>2.8679245283018866</c:v>
                </c:pt>
                <c:pt idx="53">
                  <c:v>3.4074074074074074</c:v>
                </c:pt>
                <c:pt idx="54">
                  <c:v>3.9272727272727272</c:v>
                </c:pt>
                <c:pt idx="55">
                  <c:v>2.7142857142857144</c:v>
                </c:pt>
                <c:pt idx="56">
                  <c:v>2.1052631578947367</c:v>
                </c:pt>
                <c:pt idx="57">
                  <c:v>0.96551724137931039</c:v>
                </c:pt>
                <c:pt idx="58">
                  <c:v>-0.13559322033898305</c:v>
                </c:pt>
                <c:pt idx="59">
                  <c:v>-0.26666666666666666</c:v>
                </c:pt>
                <c:pt idx="60">
                  <c:v>-0.78688524590163933</c:v>
                </c:pt>
                <c:pt idx="61">
                  <c:v>-1.2903225806451613</c:v>
                </c:pt>
                <c:pt idx="62">
                  <c:v>0.25396825396825395</c:v>
                </c:pt>
                <c:pt idx="63">
                  <c:v>-2.25</c:v>
                </c:pt>
                <c:pt idx="64">
                  <c:v>-2.7076923076923078</c:v>
                </c:pt>
                <c:pt idx="65">
                  <c:v>-3.6363636363636362</c:v>
                </c:pt>
                <c:pt idx="66">
                  <c:v>-5.4925373134328357</c:v>
                </c:pt>
                <c:pt idx="67">
                  <c:v>-7.2941176470588234</c:v>
                </c:pt>
                <c:pt idx="68">
                  <c:v>-9.0434782608695645</c:v>
                </c:pt>
                <c:pt idx="69">
                  <c:v>-7.0857142857142854</c:v>
                </c:pt>
                <c:pt idx="70">
                  <c:v>-6.535211267605634</c:v>
                </c:pt>
                <c:pt idx="71">
                  <c:v>-10.888888888888889</c:v>
                </c:pt>
                <c:pt idx="72">
                  <c:v>-10.95890410958904</c:v>
                </c:pt>
                <c:pt idx="73">
                  <c:v>-11.675675675675675</c:v>
                </c:pt>
                <c:pt idx="74">
                  <c:v>-13.226666666666667</c:v>
                </c:pt>
                <c:pt idx="75">
                  <c:v>-12.210526315789474</c:v>
                </c:pt>
                <c:pt idx="76">
                  <c:v>-8.7272727272727266</c:v>
                </c:pt>
                <c:pt idx="77">
                  <c:v>-9.0256410256410255</c:v>
                </c:pt>
                <c:pt idx="78">
                  <c:v>-4.0506329113924053</c:v>
                </c:pt>
                <c:pt idx="79">
                  <c:v>-1.6</c:v>
                </c:pt>
                <c:pt idx="80">
                  <c:v>-1.9753086419753085</c:v>
                </c:pt>
                <c:pt idx="81">
                  <c:v>-0.3902439024390244</c:v>
                </c:pt>
                <c:pt idx="82">
                  <c:v>-0.57831325301204817</c:v>
                </c:pt>
                <c:pt idx="83">
                  <c:v>-0.95238095238095233</c:v>
                </c:pt>
                <c:pt idx="84">
                  <c:v>2.0705882352941178</c:v>
                </c:pt>
                <c:pt idx="85">
                  <c:v>0.18604651162790697</c:v>
                </c:pt>
                <c:pt idx="86">
                  <c:v>-0.73563218390804597</c:v>
                </c:pt>
                <c:pt idx="87">
                  <c:v>-0.90909090909090906</c:v>
                </c:pt>
                <c:pt idx="88">
                  <c:v>-1.2584269662921348</c:v>
                </c:pt>
                <c:pt idx="89">
                  <c:v>-1.4222222222222223</c:v>
                </c:pt>
                <c:pt idx="90">
                  <c:v>3.8681318681318682</c:v>
                </c:pt>
                <c:pt idx="91">
                  <c:v>3.1304347826086958</c:v>
                </c:pt>
                <c:pt idx="92">
                  <c:v>2.752688172043011</c:v>
                </c:pt>
                <c:pt idx="93">
                  <c:v>2.3829787234042552</c:v>
                </c:pt>
                <c:pt idx="94">
                  <c:v>2.2736842105263158</c:v>
                </c:pt>
                <c:pt idx="95">
                  <c:v>2.9166666666666665</c:v>
                </c:pt>
                <c:pt idx="96">
                  <c:v>3.5463917525773194</c:v>
                </c:pt>
                <c:pt idx="97">
                  <c:v>4.1632653061224492</c:v>
                </c:pt>
                <c:pt idx="98">
                  <c:v>3.9595959595959598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6-45B9-AC3F-F0789B09E015}"/>
            </c:ext>
          </c:extLst>
        </c:ser>
        <c:ser>
          <c:idx val="3"/>
          <c:order val="3"/>
          <c:tx>
            <c:strRef>
              <c:f>Sheet2!$R$1</c:f>
              <c:strCache>
                <c:ptCount val="1"/>
                <c:pt idx="0">
                  <c:v>Noah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Sheet2!$R$2:$R$100</c:f>
              <c:numCache>
                <c:formatCode>General</c:formatCode>
                <c:ptCount val="99"/>
                <c:pt idx="0">
                  <c:v>-32</c:v>
                </c:pt>
                <c:pt idx="1">
                  <c:v>16</c:v>
                </c:pt>
                <c:pt idx="2">
                  <c:v>5.333333333333333</c:v>
                </c:pt>
                <c:pt idx="3">
                  <c:v>-36</c:v>
                </c:pt>
                <c:pt idx="4">
                  <c:v>-32</c:v>
                </c:pt>
                <c:pt idx="5">
                  <c:v>16</c:v>
                </c:pt>
                <c:pt idx="6">
                  <c:v>50.285714285714285</c:v>
                </c:pt>
                <c:pt idx="7">
                  <c:v>40</c:v>
                </c:pt>
                <c:pt idx="8">
                  <c:v>33.777777777777779</c:v>
                </c:pt>
                <c:pt idx="9">
                  <c:v>29.6</c:v>
                </c:pt>
                <c:pt idx="10">
                  <c:v>25.454545454545453</c:v>
                </c:pt>
                <c:pt idx="11">
                  <c:v>22</c:v>
                </c:pt>
                <c:pt idx="12">
                  <c:v>25.23076923076923</c:v>
                </c:pt>
                <c:pt idx="13">
                  <c:v>18.857142857142858</c:v>
                </c:pt>
                <c:pt idx="14">
                  <c:v>16.533333333333335</c:v>
                </c:pt>
                <c:pt idx="15">
                  <c:v>75.5</c:v>
                </c:pt>
                <c:pt idx="16">
                  <c:v>86.117647058823536</c:v>
                </c:pt>
                <c:pt idx="17">
                  <c:v>77.777777777777771</c:v>
                </c:pt>
                <c:pt idx="18">
                  <c:v>72.84210526315789</c:v>
                </c:pt>
                <c:pt idx="19">
                  <c:v>66</c:v>
                </c:pt>
                <c:pt idx="20">
                  <c:v>59.80952380952381</c:v>
                </c:pt>
                <c:pt idx="21">
                  <c:v>42.545454545454547</c:v>
                </c:pt>
                <c:pt idx="22">
                  <c:v>39.304347826086953</c:v>
                </c:pt>
                <c:pt idx="23">
                  <c:v>36.333333333333336</c:v>
                </c:pt>
                <c:pt idx="24">
                  <c:v>54.08</c:v>
                </c:pt>
                <c:pt idx="25">
                  <c:v>66.769230769230774</c:v>
                </c:pt>
                <c:pt idx="26">
                  <c:v>61.925925925925924</c:v>
                </c:pt>
                <c:pt idx="27">
                  <c:v>59.142857142857146</c:v>
                </c:pt>
                <c:pt idx="28">
                  <c:v>52.689655172413794</c:v>
                </c:pt>
                <c:pt idx="29">
                  <c:v>61.6</c:v>
                </c:pt>
                <c:pt idx="30">
                  <c:v>59.096774193548384</c:v>
                </c:pt>
                <c:pt idx="31">
                  <c:v>55.25</c:v>
                </c:pt>
                <c:pt idx="32">
                  <c:v>51.636363636363633</c:v>
                </c:pt>
                <c:pt idx="33">
                  <c:v>45.411764705882355</c:v>
                </c:pt>
                <c:pt idx="34">
                  <c:v>43.2</c:v>
                </c:pt>
                <c:pt idx="35">
                  <c:v>41.555555555555557</c:v>
                </c:pt>
                <c:pt idx="36">
                  <c:v>38.702702702702702</c:v>
                </c:pt>
                <c:pt idx="37">
                  <c:v>38.526315789473685</c:v>
                </c:pt>
                <c:pt idx="38">
                  <c:v>35.487179487179489</c:v>
                </c:pt>
                <c:pt idx="39">
                  <c:v>30.6</c:v>
                </c:pt>
                <c:pt idx="40">
                  <c:v>29.463414634146343</c:v>
                </c:pt>
                <c:pt idx="41">
                  <c:v>37.904761904761905</c:v>
                </c:pt>
                <c:pt idx="42">
                  <c:v>36.651162790697676</c:v>
                </c:pt>
                <c:pt idx="43">
                  <c:v>34.363636363636367</c:v>
                </c:pt>
                <c:pt idx="44">
                  <c:v>30.044444444444444</c:v>
                </c:pt>
                <c:pt idx="45">
                  <c:v>28.695652173913043</c:v>
                </c:pt>
                <c:pt idx="46">
                  <c:v>26.723404255319149</c:v>
                </c:pt>
                <c:pt idx="47">
                  <c:v>25.5</c:v>
                </c:pt>
                <c:pt idx="48">
                  <c:v>32.816326530612244</c:v>
                </c:pt>
                <c:pt idx="49">
                  <c:v>31.84</c:v>
                </c:pt>
                <c:pt idx="50">
                  <c:v>30.901960784313726</c:v>
                </c:pt>
                <c:pt idx="51">
                  <c:v>32.153846153846153</c:v>
                </c:pt>
                <c:pt idx="52">
                  <c:v>31.245283018867923</c:v>
                </c:pt>
                <c:pt idx="53">
                  <c:v>30.37037037037037</c:v>
                </c:pt>
                <c:pt idx="54">
                  <c:v>29.527272727272727</c:v>
                </c:pt>
                <c:pt idx="55">
                  <c:v>33.571428571428569</c:v>
                </c:pt>
                <c:pt idx="56">
                  <c:v>34.10526315789474</c:v>
                </c:pt>
                <c:pt idx="57">
                  <c:v>32.413793103448278</c:v>
                </c:pt>
                <c:pt idx="58">
                  <c:v>36.203389830508478</c:v>
                </c:pt>
                <c:pt idx="59">
                  <c:v>36.133333333333333</c:v>
                </c:pt>
                <c:pt idx="60">
                  <c:v>35.016393442622949</c:v>
                </c:pt>
                <c:pt idx="61">
                  <c:v>36</c:v>
                </c:pt>
                <c:pt idx="62">
                  <c:v>34.920634920634917</c:v>
                </c:pt>
                <c:pt idx="63">
                  <c:v>33.125</c:v>
                </c:pt>
                <c:pt idx="64">
                  <c:v>33.6</c:v>
                </c:pt>
                <c:pt idx="65">
                  <c:v>32.121212121212125</c:v>
                </c:pt>
                <c:pt idx="66">
                  <c:v>30.686567164179106</c:v>
                </c:pt>
                <c:pt idx="67">
                  <c:v>34</c:v>
                </c:pt>
                <c:pt idx="68">
                  <c:v>39.072463768115945</c:v>
                </c:pt>
                <c:pt idx="69">
                  <c:v>38.057142857142857</c:v>
                </c:pt>
                <c:pt idx="70">
                  <c:v>37.408450704225352</c:v>
                </c:pt>
                <c:pt idx="71">
                  <c:v>32.444444444444443</c:v>
                </c:pt>
                <c:pt idx="72">
                  <c:v>31.561643835616437</c:v>
                </c:pt>
                <c:pt idx="73">
                  <c:v>30.27027027027027</c:v>
                </c:pt>
                <c:pt idx="74">
                  <c:v>28.16</c:v>
                </c:pt>
                <c:pt idx="75">
                  <c:v>27.578947368421051</c:v>
                </c:pt>
                <c:pt idx="76">
                  <c:v>26.38961038961039</c:v>
                </c:pt>
                <c:pt idx="77">
                  <c:v>25.846153846153847</c:v>
                </c:pt>
                <c:pt idx="78">
                  <c:v>23.898734177215189</c:v>
                </c:pt>
                <c:pt idx="79">
                  <c:v>22.8</c:v>
                </c:pt>
                <c:pt idx="80">
                  <c:v>22.123456790123456</c:v>
                </c:pt>
                <c:pt idx="81">
                  <c:v>21.073170731707318</c:v>
                </c:pt>
                <c:pt idx="82">
                  <c:v>20.626506024096386</c:v>
                </c:pt>
                <c:pt idx="83">
                  <c:v>21.523809523809526</c:v>
                </c:pt>
                <c:pt idx="84">
                  <c:v>20.517647058823531</c:v>
                </c:pt>
                <c:pt idx="85">
                  <c:v>19.348837209302324</c:v>
                </c:pt>
                <c:pt idx="86">
                  <c:v>22.804597701149426</c:v>
                </c:pt>
                <c:pt idx="87">
                  <c:v>22.454545454545453</c:v>
                </c:pt>
                <c:pt idx="88">
                  <c:v>21.842696629213481</c:v>
                </c:pt>
                <c:pt idx="89">
                  <c:v>22.31111111111111</c:v>
                </c:pt>
                <c:pt idx="90">
                  <c:v>20.307692307692307</c:v>
                </c:pt>
                <c:pt idx="91">
                  <c:v>22.869565217391305</c:v>
                </c:pt>
                <c:pt idx="92">
                  <c:v>24</c:v>
                </c:pt>
                <c:pt idx="93">
                  <c:v>25.106382978723403</c:v>
                </c:pt>
                <c:pt idx="94">
                  <c:v>24.757894736842104</c:v>
                </c:pt>
                <c:pt idx="95">
                  <c:v>24.333333333333332</c:v>
                </c:pt>
                <c:pt idx="96">
                  <c:v>23.917525773195877</c:v>
                </c:pt>
                <c:pt idx="97">
                  <c:v>23.346938775510203</c:v>
                </c:pt>
                <c:pt idx="98">
                  <c:v>22.949494949494948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6-45B9-AC3F-F0789B09E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833864"/>
        <c:axId val="1135873032"/>
      </c:lineChart>
      <c:catAx>
        <c:axId val="10598338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135873032"/>
        <c:crosses val="autoZero"/>
        <c:auto val="1"/>
        <c:lblAlgn val="ctr"/>
        <c:lblOffset val="100"/>
        <c:noMultiLvlLbl val="0"/>
      </c:catAx>
      <c:valAx>
        <c:axId val="1135873032"/>
        <c:scaling>
          <c:orientation val="minMax"/>
          <c:max val="85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3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0</xdr:row>
      <xdr:rowOff>114300</xdr:rowOff>
    </xdr:from>
    <xdr:to>
      <xdr:col>13</xdr:col>
      <xdr:colOff>200025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F22A35-5F79-999A-016A-6B703AEF0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304800</xdr:colOff>
      <xdr:row>0</xdr:row>
      <xdr:rowOff>152400</xdr:rowOff>
    </xdr:from>
    <xdr:to>
      <xdr:col>26</xdr:col>
      <xdr:colOff>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339364-F4BB-AF6B-4523-0C5803348ED4}"/>
            </a:ext>
            <a:ext uri="{147F2762-F138-4A5C-976F-8EAC2B608ADB}">
              <a16:predDERef xmlns:a16="http://schemas.microsoft.com/office/drawing/2014/main" pred="{5DF22A35-5F79-999A-016A-6B703AEF0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24A9B3-C44D-462D-9B93-98EBEAB0DBCD}" name="Table14" displayName="Table14" ref="K1:P9" totalsRowShown="0" headerRowDxfId="21" headerRowBorderDxfId="20">
  <autoFilter ref="K1:P9" xr:uid="{FD3D9680-F1FD-4BA2-9C97-A002A6CF9923}"/>
  <tableColumns count="6">
    <tableColumn id="1" xr3:uid="{94085564-4554-40C9-A62E-1AD30FC61142}" name="Measure"/>
    <tableColumn id="2" xr3:uid="{3DE3159D-0AAC-45F6-8E0F-8938325D48AB}" name="Sam" dataDxfId="19"/>
    <tableColumn id="3" xr3:uid="{0E50E7C3-9CC1-4965-AFC5-7BF622C4F763}" name="Connor" dataDxfId="18"/>
    <tableColumn id="4" xr3:uid="{16BCAB56-003C-467F-9C6B-36E06BEED450}" name="Helio" dataDxfId="17"/>
    <tableColumn id="5" xr3:uid="{3EA9C94B-86EB-4AEA-9336-353FE70C3672}" name="Oscar" dataDxfId="16"/>
    <tableColumn id="6" xr3:uid="{7B2B64F4-BBE9-46B3-AFD9-E11371BE96B1}" name="Noah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75E646-7EA1-43E4-8FA1-28DB35AFBAC4}" name="Table25" displayName="Table25" ref="A1:I146" totalsRowShown="0" headerRowDxfId="14" headerRowBorderDxfId="13">
  <autoFilter ref="A1:I146" xr:uid="{B9F7E0C8-4022-44BC-8E1B-A303B2FAE751}"/>
  <tableColumns count="9">
    <tableColumn id="3" xr3:uid="{99C5DF6D-E410-4925-A5DC-38CA558F27F7}" name="Sam"/>
    <tableColumn id="4" xr3:uid="{CBE5931B-9E5F-436F-B838-418EFC6130F1}" name="Connor"/>
    <tableColumn id="5" xr3:uid="{13967AA8-3D74-45EB-A366-8B98E32C6CE9}" name="Helio"/>
    <tableColumn id="7" xr3:uid="{DE1C3110-DE95-4A79-8348-67363109D4FD}" name="Noah"/>
    <tableColumn id="8" xr3:uid="{FE364700-797B-4719-9A68-1AE3581F7F41}" name="VALID=0" dataDxfId="12">
      <calculatedColumnFormula>SUM(A2:D2)</calculatedColumnFormula>
    </tableColumn>
    <tableColumn id="9" xr3:uid="{B965B58A-AEDE-463E-9518-612D6B0D8677}" name="Running Total"/>
    <tableColumn id="10" xr3:uid="{529B6355-C0F7-40DA-B885-F2CDC087A7AB}" name="Column2"/>
    <tableColumn id="11" xr3:uid="{E7A26832-B430-46D6-858E-BE95ACBE9EFB}" name="Column3"/>
    <tableColumn id="12" xr3:uid="{8B4923CD-733C-4BE4-BA10-D1DD9C24E63B}" name="Column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D9680-F1FD-4BA2-9C97-A002A6CF9923}" name="Table1" displayName="Table1" ref="M1:R9" totalsRowShown="0" headerRowDxfId="9" headerRowBorderDxfId="8">
  <autoFilter ref="M1:R9" xr:uid="{FD3D9680-F1FD-4BA2-9C97-A002A6CF9923}"/>
  <tableColumns count="6">
    <tableColumn id="1" xr3:uid="{86615793-BC73-458E-A222-090295AE51DA}" name="Measure"/>
    <tableColumn id="2" xr3:uid="{EC443993-26F7-4062-A3F8-5E4866F8C722}" name="Sam" dataDxfId="7"/>
    <tableColumn id="3" xr3:uid="{1F3B6AB8-F6DC-49D7-9266-08B35A561D56}" name="Connor" dataDxfId="6"/>
    <tableColumn id="4" xr3:uid="{7675A72D-AE48-434B-B098-19E7BE2FFF44}" name="Helio" dataDxfId="5"/>
    <tableColumn id="5" xr3:uid="{FA00891D-AEC6-43EF-AF2D-E786D17D2406}" name="Oscar" dataDxfId="4"/>
    <tableColumn id="6" xr3:uid="{7A2C2A81-E81B-4450-BAF7-239A04626B74}" name="Noah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F7E0C8-4022-44BC-8E1B-A303B2FAE751}" name="Table2" displayName="Table2" ref="A1:K146" totalsRowShown="0" headerRowDxfId="2" headerRowBorderDxfId="1">
  <autoFilter ref="A1:K146" xr:uid="{B9F7E0C8-4022-44BC-8E1B-A303B2FAE751}"/>
  <tableColumns count="11">
    <tableColumn id="1" xr3:uid="{D279C806-7818-4CA9-BCF3-4749E83D347F}" name="Date"/>
    <tableColumn id="2" xr3:uid="{091BEDCB-81F7-4155-96F7-3E668273B96C}" name="Hand"/>
    <tableColumn id="3" xr3:uid="{0B822EC2-5F87-47C6-A226-0BCA2C4BA09B}" name="Sam"/>
    <tableColumn id="4" xr3:uid="{4D809091-FD8E-4777-908A-1B7A9FE53790}" name="Connor"/>
    <tableColumn id="5" xr3:uid="{54334C62-2C4F-455B-9539-5D85662DAF2A}" name="Helio"/>
    <tableColumn id="7" xr3:uid="{AEF4A121-FE79-45A5-B20B-9AD7971CD851}" name="Noah"/>
    <tableColumn id="8" xr3:uid="{78C6F1DF-48FA-4E19-9ED4-954FFB67774C}" name="VALID=0" dataDxfId="0">
      <calculatedColumnFormula>SUM(C2:F2)</calculatedColumnFormula>
    </tableColumn>
    <tableColumn id="9" xr3:uid="{CDFEB3AB-ADBC-4334-A493-4E761B8B9326}" name="Running Total"/>
    <tableColumn id="10" xr3:uid="{D38D4AC0-373C-4C0C-8D4E-C3F523D778B8}" name="Column2"/>
    <tableColumn id="11" xr3:uid="{661CFDF5-EA68-4F3A-80EB-DF79DF0052C5}" name="Column3"/>
    <tableColumn id="12" xr3:uid="{BC6CF9E3-B94F-4B70-903A-0B25E17FE4F0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D250-62BD-4FE8-BFDE-032C20AEC5C4}">
  <dimension ref="A1:P146"/>
  <sheetViews>
    <sheetView workbookViewId="0">
      <pane ySplit="1" topLeftCell="A18" activePane="bottomLeft" state="frozen"/>
      <selection pane="bottomLeft" activeCell="P3" sqref="P3"/>
    </sheetView>
  </sheetViews>
  <sheetFormatPr defaultRowHeight="15"/>
  <cols>
    <col min="2" max="2" width="10" bestFit="1" customWidth="1"/>
    <col min="5" max="5" width="11.5703125" style="8" bestFit="1" customWidth="1"/>
    <col min="6" max="6" width="15.5703125" hidden="1" customWidth="1"/>
    <col min="7" max="9" width="11.5703125" hidden="1" customWidth="1"/>
    <col min="11" max="11" width="12.7109375" customWidth="1"/>
    <col min="13" max="13" width="10" bestFit="1" customWidth="1"/>
    <col min="15" max="15" width="8.7109375" hidden="1" customWidth="1"/>
  </cols>
  <sheetData>
    <row r="1" spans="1:16" s="3" customFormat="1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K1" s="3" t="s">
        <v>9</v>
      </c>
      <c r="L1" s="4" t="s">
        <v>0</v>
      </c>
      <c r="M1" s="4" t="s">
        <v>1</v>
      </c>
      <c r="N1" s="4" t="s">
        <v>2</v>
      </c>
      <c r="O1" s="4" t="s">
        <v>10</v>
      </c>
      <c r="P1" s="4" t="s">
        <v>3</v>
      </c>
    </row>
    <row r="2" spans="1:16">
      <c r="A2">
        <v>-64</v>
      </c>
      <c r="B2">
        <v>-128</v>
      </c>
      <c r="C2">
        <v>-64</v>
      </c>
      <c r="D2">
        <v>256</v>
      </c>
      <c r="E2" s="8">
        <f>SUM(A2:D2)</f>
        <v>0</v>
      </c>
      <c r="F2">
        <f>SUM($A$2:A2)</f>
        <v>-64</v>
      </c>
      <c r="G2">
        <f>SUM($B$2:B2)</f>
        <v>-128</v>
      </c>
      <c r="H2">
        <f>SUM($C$2:C2)</f>
        <v>-64</v>
      </c>
      <c r="I2" s="10">
        <f>SUM($D$2:D2)</f>
        <v>256</v>
      </c>
      <c r="K2" t="s">
        <v>11</v>
      </c>
      <c r="L2">
        <f>SUM(A2:A997)</f>
        <v>-2192</v>
      </c>
      <c r="M2">
        <f t="shared" ref="M2:P2" si="0">SUM(B2:B997)</f>
        <v>152</v>
      </c>
      <c r="N2">
        <f t="shared" si="0"/>
        <v>744</v>
      </c>
      <c r="O2">
        <f t="shared" si="0"/>
        <v>1296</v>
      </c>
      <c r="P2">
        <f>SUM(D2:D997)</f>
        <v>1296</v>
      </c>
    </row>
    <row r="3" spans="1:16">
      <c r="A3">
        <v>64</v>
      </c>
      <c r="B3">
        <v>-16</v>
      </c>
      <c r="C3">
        <v>-16</v>
      </c>
      <c r="D3">
        <v>-32</v>
      </c>
      <c r="E3" s="8">
        <f t="shared" ref="E3:E66" si="1">SUM(A3:D3)</f>
        <v>0</v>
      </c>
      <c r="F3">
        <f>SUM($A$2:A3)</f>
        <v>0</v>
      </c>
      <c r="G3">
        <f>SUM($B$2:B3)</f>
        <v>-144</v>
      </c>
      <c r="H3">
        <f>SUM($C$2:C3)</f>
        <v>-80</v>
      </c>
      <c r="I3" s="10">
        <f>SUM($D$2:D3)</f>
        <v>224</v>
      </c>
      <c r="K3" t="s">
        <v>12</v>
      </c>
      <c r="L3">
        <f>COUNTIF(A10:A997,"&gt;0")</f>
        <v>17</v>
      </c>
      <c r="M3">
        <f>COUNTIF(B10:B997,"&gt;0")</f>
        <v>28</v>
      </c>
      <c r="N3">
        <f>COUNTIF(C10:C997,"&gt;0")</f>
        <v>29</v>
      </c>
      <c r="O3" t="e">
        <f>COUNTIF(#REF!,"&gt;0")</f>
        <v>#REF!</v>
      </c>
      <c r="P3">
        <f t="shared" ref="P3" si="2">COUNTIF(D10:D997,"&gt;0")</f>
        <v>25</v>
      </c>
    </row>
    <row r="4" spans="1:16">
      <c r="A4">
        <v>-16</v>
      </c>
      <c r="B4">
        <v>-16</v>
      </c>
      <c r="C4">
        <v>64</v>
      </c>
      <c r="D4">
        <v>-32</v>
      </c>
      <c r="E4" s="8">
        <f t="shared" si="1"/>
        <v>0</v>
      </c>
      <c r="F4">
        <f>SUM($A$2:A4)</f>
        <v>-16</v>
      </c>
      <c r="G4">
        <f>SUM($B$2:B4)</f>
        <v>-160</v>
      </c>
      <c r="H4">
        <f>SUM($C$2:C4)</f>
        <v>-16</v>
      </c>
      <c r="I4" s="10">
        <f>SUM($D$2:D4)</f>
        <v>192</v>
      </c>
      <c r="K4" t="s">
        <v>13</v>
      </c>
      <c r="L4">
        <f>COUNTIF(A10:A997,"&lt;0")</f>
        <v>82</v>
      </c>
      <c r="M4">
        <f>COUNTIF(B10:B997,"&lt;0")</f>
        <v>71</v>
      </c>
      <c r="N4">
        <f>COUNTIF(C10:C997,"&lt;0")</f>
        <v>70</v>
      </c>
      <c r="O4" t="e">
        <f>COUNTIF(#REF!,"&lt;0")</f>
        <v>#REF!</v>
      </c>
      <c r="P4">
        <f t="shared" ref="P4" si="3">COUNTIF(D10:D997,"&lt;0")</f>
        <v>74</v>
      </c>
    </row>
    <row r="5" spans="1:16">
      <c r="A5">
        <v>256</v>
      </c>
      <c r="B5">
        <v>-128</v>
      </c>
      <c r="C5">
        <v>-64</v>
      </c>
      <c r="D5">
        <v>-64</v>
      </c>
      <c r="E5" s="8">
        <f t="shared" si="1"/>
        <v>0</v>
      </c>
      <c r="F5">
        <f>SUM($A$2:A5)</f>
        <v>240</v>
      </c>
      <c r="G5">
        <f>SUM($B$2:B5)</f>
        <v>-288</v>
      </c>
      <c r="H5">
        <f>SUM($C$2:C5)</f>
        <v>-80</v>
      </c>
      <c r="I5" s="10">
        <f>SUM($D$2:D5)</f>
        <v>128</v>
      </c>
      <c r="K5" t="s">
        <v>14</v>
      </c>
      <c r="L5" s="2">
        <f>L3/(L3+L4)</f>
        <v>0.17171717171717171</v>
      </c>
      <c r="M5" s="2">
        <f t="shared" ref="M5:P5" si="4">M3/(M3+M4)</f>
        <v>0.28282828282828282</v>
      </c>
      <c r="N5" s="2">
        <f t="shared" si="4"/>
        <v>0.29292929292929293</v>
      </c>
      <c r="O5" s="2" t="e">
        <f t="shared" si="4"/>
        <v>#REF!</v>
      </c>
      <c r="P5" s="2">
        <f t="shared" si="4"/>
        <v>0.25252525252525254</v>
      </c>
    </row>
    <row r="6" spans="1:16">
      <c r="A6">
        <v>-128</v>
      </c>
      <c r="B6">
        <v>384</v>
      </c>
      <c r="C6">
        <v>-128</v>
      </c>
      <c r="D6">
        <v>-128</v>
      </c>
      <c r="E6" s="8">
        <f t="shared" si="1"/>
        <v>0</v>
      </c>
      <c r="F6">
        <f>SUM($A$2:A6)</f>
        <v>112</v>
      </c>
      <c r="G6">
        <f>SUM($B$2:B6)</f>
        <v>96</v>
      </c>
      <c r="H6">
        <f>SUM($C$2:C6)</f>
        <v>-208</v>
      </c>
      <c r="I6" s="10">
        <f>SUM($D$2:D6)</f>
        <v>0</v>
      </c>
      <c r="K6" t="s">
        <v>15</v>
      </c>
      <c r="L6">
        <f>MAX(A2:A997)</f>
        <v>640</v>
      </c>
      <c r="M6">
        <f>MAX(B2:B997)</f>
        <v>960</v>
      </c>
      <c r="N6">
        <f>MAX(C2:C997)</f>
        <v>960</v>
      </c>
      <c r="O6" t="e">
        <f>MAX(#REF!)</f>
        <v>#REF!</v>
      </c>
      <c r="P6">
        <f>MAX(D2:D997)</f>
        <v>960</v>
      </c>
    </row>
    <row r="7" spans="1:16">
      <c r="A7">
        <v>48</v>
      </c>
      <c r="B7">
        <v>-16</v>
      </c>
      <c r="C7">
        <v>-16</v>
      </c>
      <c r="D7">
        <v>-16</v>
      </c>
      <c r="E7" s="8">
        <f t="shared" si="1"/>
        <v>0</v>
      </c>
      <c r="F7">
        <f>SUM($A$2:A7)</f>
        <v>160</v>
      </c>
      <c r="G7">
        <f>SUM($B$2:B7)</f>
        <v>80</v>
      </c>
      <c r="H7">
        <f>SUM($C$2:C7)</f>
        <v>-224</v>
      </c>
      <c r="I7" s="10">
        <f>SUM($D$2:D7)</f>
        <v>-16</v>
      </c>
      <c r="K7" t="s">
        <v>16</v>
      </c>
      <c r="L7" s="1">
        <f>AVERAGEIF(A10:A997,"&gt;0")</f>
        <v>176</v>
      </c>
      <c r="M7" s="1">
        <f>AVERAGEIF(B10:B997,"&gt;0")</f>
        <v>165.14285714285714</v>
      </c>
      <c r="N7" s="1">
        <f>AVERAGEIF(C10:C997,"&gt;0")</f>
        <v>174.34482758620689</v>
      </c>
      <c r="O7" s="1" t="e">
        <f>AVERAGEIF(#REF!,"&gt;0")</f>
        <v>#REF!</v>
      </c>
      <c r="P7" s="1">
        <f t="shared" ref="P7" si="5">AVERAGEIF(D10:D997,"&gt;0")</f>
        <v>216.32</v>
      </c>
    </row>
    <row r="8" spans="1:16">
      <c r="A8">
        <v>-32</v>
      </c>
      <c r="B8">
        <v>-32</v>
      </c>
      <c r="C8">
        <v>128</v>
      </c>
      <c r="D8">
        <v>-64</v>
      </c>
      <c r="E8" s="8">
        <f t="shared" si="1"/>
        <v>0</v>
      </c>
      <c r="F8">
        <f>SUM($A$2:A8)</f>
        <v>128</v>
      </c>
      <c r="G8">
        <f>SUM($B$2:B8)</f>
        <v>48</v>
      </c>
      <c r="H8">
        <f>SUM($C$2:C8)</f>
        <v>-96</v>
      </c>
      <c r="I8" s="10">
        <f>SUM($D$2:D8)</f>
        <v>-80</v>
      </c>
      <c r="K8" t="s">
        <v>17</v>
      </c>
      <c r="L8" s="1">
        <f>AVERAGEIF(A10:A997,"&lt;0")</f>
        <v>-63.219512195121951</v>
      </c>
      <c r="M8" s="1">
        <f>AVERAGEIF(B10:B997,"&lt;0")</f>
        <v>-62.760563380281688</v>
      </c>
      <c r="N8" s="1">
        <f>AVERAGEIF(C10:C997,"&lt;0")</f>
        <v>-63.885714285714286</v>
      </c>
      <c r="O8" s="1" t="e">
        <f>AVERAGEIF(#REF!,"&lt;0")</f>
        <v>#REF!</v>
      </c>
      <c r="P8" s="1">
        <f t="shared" ref="P8" si="6">AVERAGEIF(D10:D997,"&lt;0")</f>
        <v>-53.621621621621621</v>
      </c>
    </row>
    <row r="9" spans="1:16">
      <c r="A9">
        <v>-128</v>
      </c>
      <c r="B9">
        <v>-64</v>
      </c>
      <c r="C9">
        <v>256</v>
      </c>
      <c r="D9">
        <v>-64</v>
      </c>
      <c r="E9" s="12">
        <f t="shared" si="1"/>
        <v>0</v>
      </c>
      <c r="F9" s="13">
        <f>SUM($A$2:A9)</f>
        <v>0</v>
      </c>
      <c r="G9" s="13">
        <f>SUM($B$2:B9)</f>
        <v>-16</v>
      </c>
      <c r="H9" s="13">
        <f>SUM($C$2:C9)</f>
        <v>160</v>
      </c>
      <c r="I9" s="14">
        <f>SUM($D$2:D9)</f>
        <v>-144</v>
      </c>
      <c r="K9" t="s">
        <v>18</v>
      </c>
      <c r="L9" s="1">
        <f>AVERAGE(A10:A1000)</f>
        <v>-22.141414141414142</v>
      </c>
      <c r="M9" s="1">
        <f>AVERAGE(B10:B1000)</f>
        <v>1.696969696969697</v>
      </c>
      <c r="N9" s="1">
        <f>AVERAGE(C10:C1000)</f>
        <v>5.8989898989898988</v>
      </c>
      <c r="O9" s="1" t="e">
        <f>AVERAGE(#REF!)</f>
        <v>#REF!</v>
      </c>
      <c r="P9" s="1">
        <f t="shared" ref="P9" si="7">AVERAGE(D10:D1000)</f>
        <v>14.545454545454545</v>
      </c>
    </row>
    <row r="10" spans="1:16">
      <c r="A10">
        <v>96</v>
      </c>
      <c r="B10">
        <v>-32</v>
      </c>
      <c r="C10">
        <v>-32</v>
      </c>
      <c r="D10">
        <v>-32</v>
      </c>
      <c r="E10" s="8">
        <f t="shared" si="1"/>
        <v>0</v>
      </c>
      <c r="F10">
        <f>SUM($A$10:A10)</f>
        <v>96</v>
      </c>
      <c r="G10">
        <f>SUM($B$10:B10)</f>
        <v>-32</v>
      </c>
      <c r="H10">
        <f>SUM($C$10:C10)</f>
        <v>-32</v>
      </c>
      <c r="I10">
        <f>SUM($D$10:D10)</f>
        <v>-32</v>
      </c>
    </row>
    <row r="11" spans="1:16">
      <c r="A11">
        <v>-16</v>
      </c>
      <c r="B11">
        <v>64</v>
      </c>
      <c r="C11">
        <v>-16</v>
      </c>
      <c r="D11">
        <v>-32</v>
      </c>
      <c r="E11" s="8">
        <f t="shared" si="1"/>
        <v>0</v>
      </c>
      <c r="F11">
        <f>SUM($A$10:A11)</f>
        <v>80</v>
      </c>
      <c r="G11">
        <f>SUM($B$10:B11)</f>
        <v>32</v>
      </c>
      <c r="H11">
        <f>SUM($C$10:C11)</f>
        <v>-48</v>
      </c>
      <c r="I11">
        <f>SUM($D$10:D11)</f>
        <v>-64</v>
      </c>
    </row>
    <row r="12" spans="1:16">
      <c r="A12">
        <v>-128</v>
      </c>
      <c r="B12">
        <v>-64</v>
      </c>
      <c r="C12">
        <v>-64</v>
      </c>
      <c r="D12">
        <v>256</v>
      </c>
      <c r="E12" s="8">
        <f t="shared" si="1"/>
        <v>0</v>
      </c>
      <c r="F12">
        <f>SUM($A$10:A12)</f>
        <v>-48</v>
      </c>
      <c r="G12">
        <f>SUM($B$10:B12)</f>
        <v>-32</v>
      </c>
      <c r="H12">
        <f>SUM($C$10:C12)</f>
        <v>-112</v>
      </c>
      <c r="I12">
        <f>SUM($D$10:D12)</f>
        <v>192</v>
      </c>
    </row>
    <row r="13" spans="1:16">
      <c r="A13">
        <v>-16</v>
      </c>
      <c r="B13">
        <v>64</v>
      </c>
      <c r="C13">
        <v>-16</v>
      </c>
      <c r="D13">
        <v>-32</v>
      </c>
      <c r="E13" s="8">
        <f t="shared" si="1"/>
        <v>0</v>
      </c>
      <c r="F13">
        <f>SUM($A$10:A13)</f>
        <v>-64</v>
      </c>
      <c r="G13">
        <f>SUM($B$10:B13)</f>
        <v>32</v>
      </c>
      <c r="H13">
        <f>SUM($C$10:C13)</f>
        <v>-128</v>
      </c>
      <c r="I13">
        <f>SUM($D$10:D13)</f>
        <v>160</v>
      </c>
    </row>
    <row r="14" spans="1:16">
      <c r="A14">
        <v>-32</v>
      </c>
      <c r="B14">
        <v>-16</v>
      </c>
      <c r="C14">
        <v>-16</v>
      </c>
      <c r="D14">
        <v>64</v>
      </c>
      <c r="E14" s="8">
        <f t="shared" si="1"/>
        <v>0</v>
      </c>
      <c r="F14">
        <f>SUM($A$10:A14)</f>
        <v>-96</v>
      </c>
      <c r="G14">
        <f>SUM($B$10:B14)</f>
        <v>16</v>
      </c>
      <c r="H14">
        <f>SUM($C$10:C14)</f>
        <v>-144</v>
      </c>
      <c r="I14">
        <f>SUM($D$10:D14)</f>
        <v>224</v>
      </c>
    </row>
    <row r="15" spans="1:16">
      <c r="A15">
        <v>-16</v>
      </c>
      <c r="B15">
        <v>64</v>
      </c>
      <c r="C15">
        <v>-32</v>
      </c>
      <c r="D15">
        <v>-16</v>
      </c>
      <c r="E15" s="8">
        <f t="shared" si="1"/>
        <v>0</v>
      </c>
      <c r="F15">
        <f>SUM($A$10:A15)</f>
        <v>-112</v>
      </c>
      <c r="G15">
        <f>SUM($B$10:B15)</f>
        <v>80</v>
      </c>
      <c r="H15">
        <f>SUM($C$10:C15)</f>
        <v>-176</v>
      </c>
      <c r="I15">
        <f>SUM($D$10:D15)</f>
        <v>208</v>
      </c>
    </row>
    <row r="16" spans="1:16">
      <c r="A16">
        <v>-80</v>
      </c>
      <c r="B16">
        <v>-80</v>
      </c>
      <c r="C16">
        <v>320</v>
      </c>
      <c r="D16">
        <v>-160</v>
      </c>
      <c r="E16" s="8">
        <f t="shared" si="1"/>
        <v>0</v>
      </c>
      <c r="F16">
        <f>SUM($A$10:A16)</f>
        <v>-192</v>
      </c>
      <c r="G16">
        <f>SUM($B$10:B16)</f>
        <v>0</v>
      </c>
      <c r="H16">
        <f>SUM($C$10:C16)</f>
        <v>144</v>
      </c>
      <c r="I16">
        <f>SUM($D$10:D16)</f>
        <v>48</v>
      </c>
    </row>
    <row r="17" spans="1:9">
      <c r="A17">
        <v>64</v>
      </c>
      <c r="B17">
        <v>-32</v>
      </c>
      <c r="C17">
        <v>-16</v>
      </c>
      <c r="D17">
        <v>-16</v>
      </c>
      <c r="E17" s="8">
        <f t="shared" si="1"/>
        <v>0</v>
      </c>
      <c r="F17">
        <f>SUM($A$10:A17)</f>
        <v>-128</v>
      </c>
      <c r="G17">
        <f>SUM($B$10:B17)</f>
        <v>-32</v>
      </c>
      <c r="H17">
        <f>SUM($C$10:C17)</f>
        <v>128</v>
      </c>
      <c r="I17">
        <f>SUM($D$10:D17)</f>
        <v>32</v>
      </c>
    </row>
    <row r="18" spans="1:9">
      <c r="A18">
        <v>-64</v>
      </c>
      <c r="B18">
        <v>-128</v>
      </c>
      <c r="C18">
        <v>-64</v>
      </c>
      <c r="D18">
        <v>256</v>
      </c>
      <c r="E18" s="8">
        <f t="shared" si="1"/>
        <v>0</v>
      </c>
      <c r="F18">
        <f>SUM($A$10:A18)</f>
        <v>-192</v>
      </c>
      <c r="G18">
        <f>SUM($B$10:B18)</f>
        <v>-160</v>
      </c>
      <c r="H18">
        <f>SUM($C$10:C18)</f>
        <v>64</v>
      </c>
      <c r="I18">
        <f>SUM($D$10:D18)</f>
        <v>288</v>
      </c>
    </row>
    <row r="19" spans="1:9">
      <c r="A19">
        <v>-64</v>
      </c>
      <c r="B19">
        <v>-64</v>
      </c>
      <c r="C19">
        <v>-128</v>
      </c>
      <c r="D19">
        <v>256</v>
      </c>
      <c r="E19" s="8">
        <f t="shared" si="1"/>
        <v>0</v>
      </c>
      <c r="F19">
        <f>SUM($A$10:A19)</f>
        <v>-256</v>
      </c>
      <c r="G19">
        <f>SUM($B$10:B19)</f>
        <v>-224</v>
      </c>
      <c r="H19">
        <f>SUM($C$10:C19)</f>
        <v>-64</v>
      </c>
      <c r="I19">
        <f>SUM($D$10:D19)</f>
        <v>544</v>
      </c>
    </row>
    <row r="20" spans="1:9">
      <c r="A20">
        <v>-16</v>
      </c>
      <c r="B20">
        <v>64</v>
      </c>
      <c r="C20">
        <v>-16</v>
      </c>
      <c r="D20">
        <v>-32</v>
      </c>
      <c r="E20" s="8">
        <f t="shared" si="1"/>
        <v>0</v>
      </c>
      <c r="F20">
        <f>SUM($A$10:A20)</f>
        <v>-272</v>
      </c>
      <c r="G20">
        <f>SUM($B$10:B20)</f>
        <v>-160</v>
      </c>
      <c r="H20">
        <f>SUM($C$10:C20)</f>
        <v>-80</v>
      </c>
      <c r="I20">
        <f>SUM($D$10:D20)</f>
        <v>512</v>
      </c>
    </row>
    <row r="21" spans="1:9">
      <c r="A21">
        <v>-16</v>
      </c>
      <c r="B21">
        <v>-32</v>
      </c>
      <c r="C21">
        <v>64</v>
      </c>
      <c r="D21">
        <v>-16</v>
      </c>
      <c r="E21" s="8">
        <f t="shared" si="1"/>
        <v>0</v>
      </c>
      <c r="F21">
        <f>SUM($A$10:A21)</f>
        <v>-288</v>
      </c>
      <c r="G21">
        <f>SUM($B$10:B21)</f>
        <v>-192</v>
      </c>
      <c r="H21">
        <f>SUM($C$10:C21)</f>
        <v>-16</v>
      </c>
      <c r="I21">
        <f>SUM($D$10:D21)</f>
        <v>496</v>
      </c>
    </row>
    <row r="22" spans="1:9">
      <c r="A22">
        <v>-8</v>
      </c>
      <c r="B22">
        <v>-16</v>
      </c>
      <c r="C22">
        <v>32</v>
      </c>
      <c r="D22">
        <v>-8</v>
      </c>
      <c r="E22" s="8">
        <f t="shared" si="1"/>
        <v>0</v>
      </c>
      <c r="F22">
        <f>SUM($A$10:A22)</f>
        <v>-296</v>
      </c>
      <c r="G22">
        <f>SUM($B$10:B22)</f>
        <v>-208</v>
      </c>
      <c r="H22">
        <f>SUM($C$10:C22)</f>
        <v>16</v>
      </c>
      <c r="I22">
        <f>SUM($D$10:D22)</f>
        <v>488</v>
      </c>
    </row>
    <row r="23" spans="1:9">
      <c r="A23">
        <v>-16</v>
      </c>
      <c r="B23">
        <v>-32</v>
      </c>
      <c r="C23">
        <v>64</v>
      </c>
      <c r="D23">
        <v>-16</v>
      </c>
      <c r="E23" s="8">
        <f t="shared" si="1"/>
        <v>0</v>
      </c>
      <c r="F23">
        <f>SUM($A$10:A23)</f>
        <v>-312</v>
      </c>
      <c r="G23">
        <f>SUM($B$10:B23)</f>
        <v>-240</v>
      </c>
      <c r="H23">
        <f>SUM($C$10:C23)</f>
        <v>80</v>
      </c>
      <c r="I23">
        <f>SUM($D$10:D23)</f>
        <v>472</v>
      </c>
    </row>
    <row r="24" spans="1:9">
      <c r="A24">
        <v>64</v>
      </c>
      <c r="B24">
        <v>-32</v>
      </c>
      <c r="C24">
        <v>-16</v>
      </c>
      <c r="D24">
        <v>-16</v>
      </c>
      <c r="E24" s="8">
        <f t="shared" si="1"/>
        <v>0</v>
      </c>
      <c r="F24">
        <f>SUM($A$10:A24)</f>
        <v>-248</v>
      </c>
      <c r="G24">
        <f>SUM($B$10:B24)</f>
        <v>-272</v>
      </c>
      <c r="H24">
        <f>SUM($C$10:C24)</f>
        <v>64</v>
      </c>
      <c r="I24">
        <f>SUM($D$10:D24)</f>
        <v>456</v>
      </c>
    </row>
    <row r="25" spans="1:9">
      <c r="A25">
        <v>-32</v>
      </c>
      <c r="B25">
        <v>-16</v>
      </c>
      <c r="C25">
        <v>-16</v>
      </c>
      <c r="D25">
        <v>64</v>
      </c>
      <c r="E25" s="8">
        <f t="shared" si="1"/>
        <v>0</v>
      </c>
      <c r="F25">
        <f>SUM($A$10:A25)</f>
        <v>-280</v>
      </c>
      <c r="G25">
        <f>SUM($B$10:B25)</f>
        <v>-288</v>
      </c>
      <c r="H25">
        <f>SUM($C$10:C25)</f>
        <v>48</v>
      </c>
      <c r="I25">
        <f>SUM($D$10:D25)</f>
        <v>520</v>
      </c>
    </row>
    <row r="26" spans="1:9">
      <c r="A26">
        <v>-64</v>
      </c>
      <c r="B26">
        <v>256</v>
      </c>
      <c r="C26">
        <v>-128</v>
      </c>
      <c r="D26">
        <v>-64</v>
      </c>
      <c r="E26" s="8">
        <f t="shared" si="1"/>
        <v>0</v>
      </c>
      <c r="F26">
        <f>SUM($A$10:A26)</f>
        <v>-344</v>
      </c>
      <c r="G26">
        <f>SUM($B$10:B26)</f>
        <v>-32</v>
      </c>
      <c r="H26">
        <f>SUM($C$10:C26)</f>
        <v>-80</v>
      </c>
      <c r="I26">
        <f>SUM($D$10:D26)</f>
        <v>456</v>
      </c>
    </row>
    <row r="27" spans="1:9">
      <c r="A27">
        <v>-8</v>
      </c>
      <c r="B27">
        <v>32</v>
      </c>
      <c r="C27">
        <v>-8</v>
      </c>
      <c r="D27">
        <v>-16</v>
      </c>
      <c r="E27" s="8">
        <f t="shared" si="1"/>
        <v>0</v>
      </c>
      <c r="F27">
        <f>SUM($A$10:A27)</f>
        <v>-352</v>
      </c>
      <c r="G27">
        <f>SUM($B$10:B27)</f>
        <v>0</v>
      </c>
      <c r="H27">
        <f>SUM($C$10:C27)</f>
        <v>-88</v>
      </c>
      <c r="I27">
        <f>SUM($D$10:D27)</f>
        <v>440</v>
      </c>
    </row>
    <row r="28" spans="1:9">
      <c r="A28">
        <v>-320</v>
      </c>
      <c r="B28">
        <v>-320</v>
      </c>
      <c r="C28">
        <v>-320</v>
      </c>
      <c r="D28">
        <v>960</v>
      </c>
      <c r="E28" s="8">
        <f t="shared" si="1"/>
        <v>0</v>
      </c>
      <c r="F28">
        <f>SUM($A$10:A28)</f>
        <v>-672</v>
      </c>
      <c r="G28">
        <f>SUM($B$10:B28)</f>
        <v>-320</v>
      </c>
      <c r="H28">
        <f>SUM($C$10:C28)</f>
        <v>-408</v>
      </c>
      <c r="I28">
        <f>SUM($D$10:D28)</f>
        <v>1400</v>
      </c>
    </row>
    <row r="29" spans="1:9">
      <c r="A29">
        <v>-64</v>
      </c>
      <c r="B29">
        <v>-64</v>
      </c>
      <c r="C29">
        <v>-128</v>
      </c>
      <c r="D29">
        <v>256</v>
      </c>
      <c r="E29" s="8">
        <f t="shared" si="1"/>
        <v>0</v>
      </c>
      <c r="F29">
        <f>SUM($A$10:A29)</f>
        <v>-736</v>
      </c>
      <c r="G29">
        <f>SUM($B$10:B29)</f>
        <v>-384</v>
      </c>
      <c r="H29">
        <f>SUM($C$10:C29)</f>
        <v>-536</v>
      </c>
      <c r="I29">
        <f>SUM($D$10:D29)</f>
        <v>1656</v>
      </c>
    </row>
    <row r="30" spans="1:9">
      <c r="A30">
        <v>256</v>
      </c>
      <c r="B30">
        <v>-64</v>
      </c>
      <c r="C30">
        <v>-128</v>
      </c>
      <c r="D30">
        <v>-64</v>
      </c>
      <c r="E30" s="8">
        <f t="shared" si="1"/>
        <v>0</v>
      </c>
      <c r="F30">
        <f>SUM($A$10:A30)</f>
        <v>-480</v>
      </c>
      <c r="G30">
        <f>SUM($B$10:B30)</f>
        <v>-448</v>
      </c>
      <c r="H30">
        <f>SUM($C$10:C30)</f>
        <v>-664</v>
      </c>
      <c r="I30">
        <f>SUM($D$10:D30)</f>
        <v>1592</v>
      </c>
    </row>
    <row r="31" spans="1:9">
      <c r="A31">
        <v>-32</v>
      </c>
      <c r="B31">
        <v>-16</v>
      </c>
      <c r="C31">
        <v>64</v>
      </c>
      <c r="D31">
        <v>-16</v>
      </c>
      <c r="E31" s="8">
        <f t="shared" si="1"/>
        <v>0</v>
      </c>
      <c r="F31">
        <f>SUM($A$10:A31)</f>
        <v>-512</v>
      </c>
      <c r="G31">
        <f>SUM($B$10:B31)</f>
        <v>-464</v>
      </c>
      <c r="H31">
        <f>SUM($C$10:C31)</f>
        <v>-600</v>
      </c>
      <c r="I31">
        <f>SUM($D$10:D31)</f>
        <v>1576</v>
      </c>
    </row>
    <row r="32" spans="1:9">
      <c r="A32">
        <v>-64</v>
      </c>
      <c r="B32">
        <v>-64</v>
      </c>
      <c r="C32">
        <v>192</v>
      </c>
      <c r="D32">
        <v>-64</v>
      </c>
      <c r="E32" s="8">
        <f t="shared" si="1"/>
        <v>0</v>
      </c>
      <c r="F32">
        <f>SUM($A$10:A32)</f>
        <v>-576</v>
      </c>
      <c r="G32">
        <f>SUM($B$10:B32)</f>
        <v>-528</v>
      </c>
      <c r="H32">
        <f>SUM($C$10:C32)</f>
        <v>-408</v>
      </c>
      <c r="I32">
        <f>SUM($D$10:D32)</f>
        <v>1512</v>
      </c>
    </row>
    <row r="33" spans="1:9">
      <c r="A33">
        <v>-64</v>
      </c>
      <c r="B33">
        <v>-64</v>
      </c>
      <c r="C33">
        <v>192</v>
      </c>
      <c r="D33">
        <v>-64</v>
      </c>
      <c r="E33" s="8">
        <f t="shared" si="1"/>
        <v>0</v>
      </c>
      <c r="F33">
        <f>SUM($A$10:A33)</f>
        <v>-640</v>
      </c>
      <c r="G33">
        <f>SUM($B$10:B33)</f>
        <v>-592</v>
      </c>
      <c r="H33">
        <f>SUM($C$10:C33)</f>
        <v>-216</v>
      </c>
      <c r="I33">
        <f>SUM($D$10:D33)</f>
        <v>1448</v>
      </c>
    </row>
    <row r="34" spans="1:9">
      <c r="A34">
        <v>-320</v>
      </c>
      <c r="B34">
        <v>-320</v>
      </c>
      <c r="C34">
        <v>960</v>
      </c>
      <c r="D34">
        <v>-320</v>
      </c>
      <c r="E34" s="8">
        <f t="shared" si="1"/>
        <v>0</v>
      </c>
      <c r="F34">
        <f>SUM($A$10:A34)</f>
        <v>-960</v>
      </c>
      <c r="G34">
        <f>SUM($B$10:B34)</f>
        <v>-912</v>
      </c>
      <c r="H34">
        <f>SUM($C$10:C34)</f>
        <v>744</v>
      </c>
      <c r="I34">
        <f>SUM($D$10:D34)</f>
        <v>1128</v>
      </c>
    </row>
    <row r="35" spans="1:9">
      <c r="A35">
        <v>-16</v>
      </c>
      <c r="B35">
        <v>64</v>
      </c>
      <c r="C35">
        <v>-16</v>
      </c>
      <c r="D35">
        <v>-32</v>
      </c>
      <c r="E35" s="8">
        <f t="shared" si="1"/>
        <v>0</v>
      </c>
      <c r="F35">
        <f>SUM($A$10:A35)</f>
        <v>-976</v>
      </c>
      <c r="G35">
        <f>SUM($B$10:B35)</f>
        <v>-848</v>
      </c>
      <c r="H35">
        <f>SUM($C$10:C35)</f>
        <v>728</v>
      </c>
      <c r="I35">
        <f>SUM($D$10:D35)</f>
        <v>1096</v>
      </c>
    </row>
    <row r="36" spans="1:9">
      <c r="A36">
        <v>-128</v>
      </c>
      <c r="B36">
        <v>256</v>
      </c>
      <c r="C36">
        <v>-64</v>
      </c>
      <c r="D36">
        <v>-64</v>
      </c>
      <c r="E36" s="8">
        <f t="shared" si="1"/>
        <v>0</v>
      </c>
      <c r="F36">
        <f>SUM($A$10:A36)</f>
        <v>-1104</v>
      </c>
      <c r="G36">
        <f>SUM($B$10:B36)</f>
        <v>-592</v>
      </c>
      <c r="H36">
        <f>SUM($C$10:C36)</f>
        <v>664</v>
      </c>
      <c r="I36">
        <f>SUM($D$10:D36)</f>
        <v>1032</v>
      </c>
    </row>
    <row r="37" spans="1:9">
      <c r="A37">
        <v>256</v>
      </c>
      <c r="B37">
        <v>-64</v>
      </c>
      <c r="C37">
        <v>-128</v>
      </c>
      <c r="D37">
        <v>-64</v>
      </c>
      <c r="E37" s="8">
        <f t="shared" si="1"/>
        <v>0</v>
      </c>
      <c r="F37">
        <f>SUM($A$10:A37)</f>
        <v>-848</v>
      </c>
      <c r="G37">
        <f>SUM($B$10:B37)</f>
        <v>-656</v>
      </c>
      <c r="H37">
        <f>SUM($C$10:C37)</f>
        <v>536</v>
      </c>
      <c r="I37">
        <f>SUM($D$10:D37)</f>
        <v>968</v>
      </c>
    </row>
    <row r="38" spans="1:9">
      <c r="A38">
        <v>-64</v>
      </c>
      <c r="B38">
        <v>-64</v>
      </c>
      <c r="C38">
        <v>-128</v>
      </c>
      <c r="D38">
        <v>256</v>
      </c>
      <c r="E38" s="8">
        <f t="shared" si="1"/>
        <v>0</v>
      </c>
      <c r="F38">
        <f>SUM($A$10:A38)</f>
        <v>-912</v>
      </c>
      <c r="G38">
        <f>SUM($B$10:B38)</f>
        <v>-720</v>
      </c>
      <c r="H38">
        <f>SUM($C$10:C38)</f>
        <v>408</v>
      </c>
      <c r="I38">
        <f>SUM($D$10:D38)</f>
        <v>1224</v>
      </c>
    </row>
    <row r="39" spans="1:9">
      <c r="A39">
        <v>-128</v>
      </c>
      <c r="B39">
        <v>-128</v>
      </c>
      <c r="C39">
        <v>-128</v>
      </c>
      <c r="D39">
        <v>384</v>
      </c>
      <c r="E39" s="8">
        <f t="shared" si="1"/>
        <v>0</v>
      </c>
      <c r="F39">
        <f>SUM($A$10:A39)</f>
        <v>-1040</v>
      </c>
      <c r="G39">
        <f>SUM($B$10:B39)</f>
        <v>-848</v>
      </c>
      <c r="H39">
        <f>SUM($C$10:C39)</f>
        <v>280</v>
      </c>
      <c r="I39">
        <f>SUM($D$10:D39)</f>
        <v>1608</v>
      </c>
    </row>
    <row r="40" spans="1:9">
      <c r="A40">
        <v>-32</v>
      </c>
      <c r="B40">
        <v>-64</v>
      </c>
      <c r="C40">
        <v>128</v>
      </c>
      <c r="D40">
        <v>-32</v>
      </c>
      <c r="E40" s="8">
        <f t="shared" si="1"/>
        <v>0</v>
      </c>
      <c r="F40">
        <f>SUM($A$10:A40)</f>
        <v>-1072</v>
      </c>
      <c r="G40">
        <f>SUM($B$10:B40)</f>
        <v>-912</v>
      </c>
      <c r="H40">
        <f>SUM($C$10:C40)</f>
        <v>408</v>
      </c>
      <c r="I40">
        <f>SUM($D$10:D40)</f>
        <v>1576</v>
      </c>
    </row>
    <row r="41" spans="1:9">
      <c r="A41">
        <v>-16</v>
      </c>
      <c r="B41">
        <v>-8</v>
      </c>
      <c r="C41">
        <v>32</v>
      </c>
      <c r="D41">
        <v>-8</v>
      </c>
      <c r="E41" s="8">
        <f t="shared" si="1"/>
        <v>0</v>
      </c>
      <c r="F41">
        <f>SUM($A$10:A41)</f>
        <v>-1088</v>
      </c>
      <c r="G41">
        <f>SUM($B$10:B41)</f>
        <v>-920</v>
      </c>
      <c r="H41">
        <f>SUM($C$10:C41)</f>
        <v>440</v>
      </c>
      <c r="I41">
        <f>SUM($D$10:D41)</f>
        <v>1568</v>
      </c>
    </row>
    <row r="42" spans="1:9">
      <c r="A42">
        <v>-320</v>
      </c>
      <c r="B42">
        <v>960</v>
      </c>
      <c r="C42">
        <v>-320</v>
      </c>
      <c r="D42">
        <v>-320</v>
      </c>
      <c r="E42" s="8">
        <f t="shared" si="1"/>
        <v>0</v>
      </c>
      <c r="F42">
        <f>SUM($A$10:A42)</f>
        <v>-1408</v>
      </c>
      <c r="G42">
        <f>SUM($B$10:B42)</f>
        <v>40</v>
      </c>
      <c r="H42">
        <f>SUM($C$10:C42)</f>
        <v>120</v>
      </c>
      <c r="I42">
        <f>SUM($D$10:D42)</f>
        <v>1248</v>
      </c>
    </row>
    <row r="43" spans="1:9">
      <c r="A43">
        <v>-16</v>
      </c>
      <c r="B43">
        <v>64</v>
      </c>
      <c r="C43">
        <v>-16</v>
      </c>
      <c r="D43">
        <v>-32</v>
      </c>
      <c r="E43" s="8">
        <f t="shared" si="1"/>
        <v>0</v>
      </c>
      <c r="F43">
        <f>SUM($A$10:A43)</f>
        <v>-1424</v>
      </c>
      <c r="G43">
        <f>SUM($B$10:B43)</f>
        <v>104</v>
      </c>
      <c r="H43">
        <f>SUM($C$10:C43)</f>
        <v>104</v>
      </c>
      <c r="I43">
        <f>SUM($D$10:D43)</f>
        <v>1216</v>
      </c>
    </row>
    <row r="44" spans="1:9">
      <c r="A44">
        <v>-128</v>
      </c>
      <c r="B44">
        <v>256</v>
      </c>
      <c r="C44">
        <v>-64</v>
      </c>
      <c r="D44">
        <v>-64</v>
      </c>
      <c r="E44" s="8">
        <f t="shared" si="1"/>
        <v>0</v>
      </c>
      <c r="F44">
        <f>SUM($A$10:A44)</f>
        <v>-1552</v>
      </c>
      <c r="G44">
        <f>SUM($B$10:B44)</f>
        <v>360</v>
      </c>
      <c r="H44">
        <f>SUM($C$10:C44)</f>
        <v>40</v>
      </c>
      <c r="I44">
        <f>SUM($D$10:D44)</f>
        <v>1152</v>
      </c>
    </row>
    <row r="45" spans="1:9">
      <c r="A45">
        <v>-128</v>
      </c>
      <c r="B45">
        <v>384</v>
      </c>
      <c r="C45">
        <v>-128</v>
      </c>
      <c r="D45">
        <v>-128</v>
      </c>
      <c r="E45" s="8">
        <f t="shared" si="1"/>
        <v>0</v>
      </c>
      <c r="F45">
        <f>SUM($A$10:A45)</f>
        <v>-1680</v>
      </c>
      <c r="G45">
        <f>SUM($B$10:B45)</f>
        <v>744</v>
      </c>
      <c r="H45">
        <f>SUM($C$10:C45)</f>
        <v>-88</v>
      </c>
      <c r="I45">
        <f>SUM($D$10:D45)</f>
        <v>1024</v>
      </c>
    </row>
    <row r="46" spans="1:9">
      <c r="A46">
        <v>-32</v>
      </c>
      <c r="B46">
        <v>-16</v>
      </c>
      <c r="C46">
        <v>64</v>
      </c>
      <c r="D46">
        <v>-16</v>
      </c>
      <c r="E46" s="8">
        <f t="shared" si="1"/>
        <v>0</v>
      </c>
      <c r="F46">
        <f>SUM($A$10:A46)</f>
        <v>-1712</v>
      </c>
      <c r="G46">
        <f>SUM($B$10:B46)</f>
        <v>728</v>
      </c>
      <c r="H46">
        <f>SUM($C$10:C46)</f>
        <v>-24</v>
      </c>
      <c r="I46">
        <f>SUM($D$10:D46)</f>
        <v>1008</v>
      </c>
    </row>
    <row r="47" spans="1:9">
      <c r="A47">
        <v>-8</v>
      </c>
      <c r="B47">
        <v>-8</v>
      </c>
      <c r="C47">
        <v>32</v>
      </c>
      <c r="D47">
        <v>-16</v>
      </c>
      <c r="E47" s="8">
        <f t="shared" si="1"/>
        <v>0</v>
      </c>
      <c r="F47">
        <f>SUM($A$10:A47)</f>
        <v>-1720</v>
      </c>
      <c r="G47">
        <f>SUM($B$10:B47)</f>
        <v>720</v>
      </c>
      <c r="H47">
        <f>SUM($C$10:C47)</f>
        <v>8</v>
      </c>
      <c r="I47">
        <f>SUM($D$10:D47)</f>
        <v>992</v>
      </c>
    </row>
    <row r="48" spans="1:9">
      <c r="A48">
        <v>-64</v>
      </c>
      <c r="B48">
        <v>-128</v>
      </c>
      <c r="C48">
        <v>-64</v>
      </c>
      <c r="D48">
        <v>256</v>
      </c>
      <c r="E48" s="8">
        <f t="shared" si="1"/>
        <v>0</v>
      </c>
      <c r="F48">
        <f>SUM($A$10:A48)</f>
        <v>-1784</v>
      </c>
      <c r="G48">
        <f>SUM($B$10:B48)</f>
        <v>592</v>
      </c>
      <c r="H48">
        <f>SUM($C$10:C48)</f>
        <v>-56</v>
      </c>
      <c r="I48">
        <f>SUM($D$10:D48)</f>
        <v>1248</v>
      </c>
    </row>
    <row r="49" spans="1:9">
      <c r="A49">
        <v>-16</v>
      </c>
      <c r="B49">
        <v>-16</v>
      </c>
      <c r="C49">
        <v>-32</v>
      </c>
      <c r="D49">
        <v>64</v>
      </c>
      <c r="E49" s="8">
        <f t="shared" si="1"/>
        <v>0</v>
      </c>
      <c r="F49">
        <f>SUM($A$10:A49)</f>
        <v>-1800</v>
      </c>
      <c r="G49">
        <f>SUM($B$10:B49)</f>
        <v>576</v>
      </c>
      <c r="H49">
        <f>SUM($C$10:C49)</f>
        <v>-88</v>
      </c>
      <c r="I49">
        <f>SUM($D$10:D49)</f>
        <v>1312</v>
      </c>
    </row>
    <row r="50" spans="1:9">
      <c r="A50">
        <v>-128</v>
      </c>
      <c r="B50">
        <v>256</v>
      </c>
      <c r="C50">
        <v>-64</v>
      </c>
      <c r="D50">
        <v>-64</v>
      </c>
      <c r="E50" s="8">
        <f t="shared" si="1"/>
        <v>0</v>
      </c>
      <c r="F50">
        <f>SUM($A$10:A50)</f>
        <v>-1928</v>
      </c>
      <c r="G50">
        <f>SUM($B$10:B50)</f>
        <v>832</v>
      </c>
      <c r="H50">
        <f>SUM($C$10:C50)</f>
        <v>-152</v>
      </c>
      <c r="I50">
        <f>SUM($D$10:D50)</f>
        <v>1248</v>
      </c>
    </row>
    <row r="51" spans="1:9">
      <c r="A51">
        <v>-128</v>
      </c>
      <c r="B51">
        <v>-64</v>
      </c>
      <c r="C51">
        <v>-64</v>
      </c>
      <c r="D51">
        <v>256</v>
      </c>
      <c r="E51" s="8">
        <f t="shared" si="1"/>
        <v>0</v>
      </c>
      <c r="F51">
        <f>SUM($A$10:A51)</f>
        <v>-2056</v>
      </c>
      <c r="G51">
        <f>SUM($B$10:B51)</f>
        <v>768</v>
      </c>
      <c r="H51">
        <f>SUM($C$10:C51)</f>
        <v>-216</v>
      </c>
      <c r="I51">
        <f>SUM($D$10:D51)</f>
        <v>1504</v>
      </c>
    </row>
    <row r="52" spans="1:9">
      <c r="A52">
        <v>-16</v>
      </c>
      <c r="B52">
        <v>-8</v>
      </c>
      <c r="C52">
        <v>-8</v>
      </c>
      <c r="D52">
        <v>32</v>
      </c>
      <c r="E52" s="8">
        <f t="shared" si="1"/>
        <v>0</v>
      </c>
      <c r="F52">
        <f>SUM($A$10:A52)</f>
        <v>-2072</v>
      </c>
      <c r="G52">
        <f>SUM($B$10:B52)</f>
        <v>760</v>
      </c>
      <c r="H52">
        <f>SUM($C$10:C52)</f>
        <v>-224</v>
      </c>
      <c r="I52">
        <f>SUM($D$10:D52)</f>
        <v>1536</v>
      </c>
    </row>
    <row r="53" spans="1:9">
      <c r="A53">
        <v>96</v>
      </c>
      <c r="B53">
        <v>-32</v>
      </c>
      <c r="C53">
        <v>-32</v>
      </c>
      <c r="D53">
        <v>-32</v>
      </c>
      <c r="E53" s="8">
        <f t="shared" si="1"/>
        <v>0</v>
      </c>
      <c r="F53">
        <f>SUM($A$10:A53)</f>
        <v>-1976</v>
      </c>
      <c r="G53">
        <f>SUM($B$10:B53)</f>
        <v>728</v>
      </c>
      <c r="H53">
        <f>SUM($C$10:C53)</f>
        <v>-256</v>
      </c>
      <c r="I53">
        <f>SUM($D$10:D53)</f>
        <v>1504</v>
      </c>
    </row>
    <row r="54" spans="1:9">
      <c r="A54">
        <v>-32</v>
      </c>
      <c r="B54">
        <v>-32</v>
      </c>
      <c r="C54">
        <v>-32</v>
      </c>
      <c r="D54">
        <v>96</v>
      </c>
      <c r="E54" s="8">
        <f t="shared" si="1"/>
        <v>0</v>
      </c>
      <c r="F54">
        <f>SUM($A$10:A54)</f>
        <v>-2008</v>
      </c>
      <c r="G54">
        <f>SUM($B$10:B54)</f>
        <v>696</v>
      </c>
      <c r="H54">
        <f>SUM($C$10:C54)</f>
        <v>-288</v>
      </c>
      <c r="I54">
        <f>SUM($D$10:D54)</f>
        <v>1600</v>
      </c>
    </row>
    <row r="55" spans="1:9">
      <c r="A55">
        <v>-32</v>
      </c>
      <c r="B55">
        <v>-32</v>
      </c>
      <c r="C55">
        <v>96</v>
      </c>
      <c r="D55">
        <v>-32</v>
      </c>
      <c r="E55" s="8">
        <f t="shared" si="1"/>
        <v>0</v>
      </c>
      <c r="F55">
        <f>SUM($A$10:A55)</f>
        <v>-2040</v>
      </c>
      <c r="G55">
        <f>SUM($B$10:B55)</f>
        <v>664</v>
      </c>
      <c r="H55">
        <f>SUM($C$10:C55)</f>
        <v>-192</v>
      </c>
      <c r="I55">
        <f>SUM($D$10:D55)</f>
        <v>1568</v>
      </c>
    </row>
    <row r="56" spans="1:9">
      <c r="A56">
        <v>-80</v>
      </c>
      <c r="B56">
        <v>320</v>
      </c>
      <c r="C56">
        <v>-160</v>
      </c>
      <c r="D56">
        <v>-80</v>
      </c>
      <c r="E56" s="8">
        <f t="shared" si="1"/>
        <v>0</v>
      </c>
      <c r="F56">
        <f>SUM($A$10:A56)</f>
        <v>-2120</v>
      </c>
      <c r="G56">
        <f>SUM($B$10:B56)</f>
        <v>984</v>
      </c>
      <c r="H56">
        <f>SUM($C$10:C56)</f>
        <v>-352</v>
      </c>
      <c r="I56">
        <f>SUM($D$10:D56)</f>
        <v>1488</v>
      </c>
    </row>
    <row r="57" spans="1:9">
      <c r="A57">
        <v>-16</v>
      </c>
      <c r="B57">
        <v>-16</v>
      </c>
      <c r="C57">
        <v>-32</v>
      </c>
      <c r="D57">
        <v>64</v>
      </c>
      <c r="E57" s="8">
        <f t="shared" si="1"/>
        <v>0</v>
      </c>
      <c r="F57">
        <f>SUM($A$10:A57)</f>
        <v>-2136</v>
      </c>
      <c r="G57">
        <f>SUM($B$10:B57)</f>
        <v>968</v>
      </c>
      <c r="H57">
        <f>SUM($C$10:C57)</f>
        <v>-384</v>
      </c>
      <c r="I57">
        <f>SUM($D$10:D57)</f>
        <v>1552</v>
      </c>
    </row>
    <row r="58" spans="1:9">
      <c r="A58">
        <v>-16</v>
      </c>
      <c r="B58">
        <v>64</v>
      </c>
      <c r="C58">
        <v>-32</v>
      </c>
      <c r="D58">
        <v>-16</v>
      </c>
      <c r="E58" s="8">
        <f t="shared" si="1"/>
        <v>0</v>
      </c>
      <c r="F58">
        <f>SUM($A$10:A58)</f>
        <v>-2152</v>
      </c>
      <c r="G58">
        <f>SUM($B$10:B58)</f>
        <v>1032</v>
      </c>
      <c r="H58">
        <f>SUM($C$10:C58)</f>
        <v>-416</v>
      </c>
      <c r="I58">
        <f>SUM($D$10:D58)</f>
        <v>1536</v>
      </c>
    </row>
    <row r="59" spans="1:9">
      <c r="A59">
        <v>-32</v>
      </c>
      <c r="B59">
        <v>-32</v>
      </c>
      <c r="C59">
        <v>128</v>
      </c>
      <c r="D59">
        <v>-64</v>
      </c>
      <c r="E59" s="8">
        <f t="shared" si="1"/>
        <v>0</v>
      </c>
      <c r="F59">
        <f>SUM($A$10:A59)</f>
        <v>-2184</v>
      </c>
      <c r="G59">
        <f>SUM($B$10:B59)</f>
        <v>1000</v>
      </c>
      <c r="H59">
        <f>SUM($C$10:C59)</f>
        <v>-288</v>
      </c>
      <c r="I59">
        <f>SUM($D$10:D59)</f>
        <v>1472</v>
      </c>
    </row>
    <row r="60" spans="1:9">
      <c r="A60">
        <v>-64</v>
      </c>
      <c r="B60">
        <v>256</v>
      </c>
      <c r="C60">
        <v>-128</v>
      </c>
      <c r="D60">
        <v>-64</v>
      </c>
      <c r="E60" s="8">
        <f t="shared" si="1"/>
        <v>0</v>
      </c>
      <c r="F60">
        <f>SUM($A$10:A60)</f>
        <v>-2248</v>
      </c>
      <c r="G60">
        <f>SUM($B$10:B60)</f>
        <v>1256</v>
      </c>
      <c r="H60">
        <f>SUM($C$10:C60)</f>
        <v>-416</v>
      </c>
      <c r="I60">
        <f>SUM($D$10:D60)</f>
        <v>1408</v>
      </c>
    </row>
    <row r="61" spans="1:9">
      <c r="A61">
        <v>640</v>
      </c>
      <c r="B61">
        <v>-320</v>
      </c>
      <c r="C61">
        <v>-160</v>
      </c>
      <c r="D61">
        <v>-160</v>
      </c>
      <c r="E61" s="8">
        <f t="shared" si="1"/>
        <v>0</v>
      </c>
      <c r="F61">
        <f>SUM($A$10:A61)</f>
        <v>-1608</v>
      </c>
      <c r="G61">
        <f>SUM($B$10:B61)</f>
        <v>936</v>
      </c>
      <c r="H61">
        <f>SUM($C$10:C61)</f>
        <v>-576</v>
      </c>
      <c r="I61">
        <f>SUM($D$10:D61)</f>
        <v>1248</v>
      </c>
    </row>
    <row r="62" spans="1:9">
      <c r="A62">
        <v>-32</v>
      </c>
      <c r="B62">
        <v>-32</v>
      </c>
      <c r="C62">
        <v>96</v>
      </c>
      <c r="D62">
        <v>-32</v>
      </c>
      <c r="E62" s="8">
        <f t="shared" si="1"/>
        <v>0</v>
      </c>
      <c r="F62">
        <f>SUM($A$10:A62)</f>
        <v>-1640</v>
      </c>
      <c r="G62">
        <f>SUM($B$10:B62)</f>
        <v>904</v>
      </c>
      <c r="H62">
        <f>SUM($C$10:C62)</f>
        <v>-480</v>
      </c>
      <c r="I62">
        <f>SUM($D$10:D62)</f>
        <v>1216</v>
      </c>
    </row>
    <row r="63" spans="1:9">
      <c r="A63">
        <v>-16</v>
      </c>
      <c r="B63">
        <v>48</v>
      </c>
      <c r="C63">
        <v>-16</v>
      </c>
      <c r="D63">
        <v>-16</v>
      </c>
      <c r="E63" s="8">
        <f t="shared" si="1"/>
        <v>0</v>
      </c>
      <c r="F63">
        <f>SUM($A$10:A63)</f>
        <v>-1656</v>
      </c>
      <c r="G63">
        <f>SUM($B$10:B63)</f>
        <v>952</v>
      </c>
      <c r="H63">
        <f>SUM($C$10:C63)</f>
        <v>-496</v>
      </c>
      <c r="I63">
        <f>SUM($D$10:D63)</f>
        <v>1200</v>
      </c>
    </row>
    <row r="64" spans="1:9">
      <c r="A64">
        <v>128</v>
      </c>
      <c r="B64">
        <v>-32</v>
      </c>
      <c r="C64">
        <v>-32</v>
      </c>
      <c r="D64">
        <v>-64</v>
      </c>
      <c r="E64" s="8">
        <f t="shared" si="1"/>
        <v>0</v>
      </c>
      <c r="F64">
        <f>SUM($A$10:A64)</f>
        <v>-1528</v>
      </c>
      <c r="G64">
        <f>SUM($B$10:B64)</f>
        <v>920</v>
      </c>
      <c r="H64">
        <f>SUM($C$10:C64)</f>
        <v>-528</v>
      </c>
      <c r="I64">
        <f>SUM($D$10:D64)</f>
        <v>1136</v>
      </c>
    </row>
    <row r="65" spans="1:9">
      <c r="A65">
        <v>-8</v>
      </c>
      <c r="B65">
        <v>-8</v>
      </c>
      <c r="C65">
        <v>-16</v>
      </c>
      <c r="D65">
        <v>32</v>
      </c>
      <c r="E65" s="8">
        <f t="shared" si="1"/>
        <v>0</v>
      </c>
      <c r="F65">
        <f>SUM($A$10:A65)</f>
        <v>-1536</v>
      </c>
      <c r="G65">
        <f>SUM($B$10:B65)</f>
        <v>912</v>
      </c>
      <c r="H65">
        <f>SUM($C$10:C65)</f>
        <v>-544</v>
      </c>
      <c r="I65">
        <f>SUM($D$10:D65)</f>
        <v>1168</v>
      </c>
    </row>
    <row r="66" spans="1:9">
      <c r="A66">
        <v>320</v>
      </c>
      <c r="B66">
        <v>-80</v>
      </c>
      <c r="C66">
        <v>-160</v>
      </c>
      <c r="D66">
        <v>-80</v>
      </c>
      <c r="E66" s="8">
        <f t="shared" si="1"/>
        <v>0</v>
      </c>
      <c r="F66">
        <f>SUM($A$10:A66)</f>
        <v>-1216</v>
      </c>
      <c r="G66">
        <f>SUM($B$10:B66)</f>
        <v>832</v>
      </c>
      <c r="H66">
        <f>SUM($C$10:C66)</f>
        <v>-704</v>
      </c>
      <c r="I66">
        <f>SUM($D$10:D66)</f>
        <v>1088</v>
      </c>
    </row>
    <row r="67" spans="1:9">
      <c r="A67">
        <v>-128</v>
      </c>
      <c r="B67">
        <v>-64</v>
      </c>
      <c r="C67">
        <v>256</v>
      </c>
      <c r="D67">
        <v>-64</v>
      </c>
      <c r="E67" s="8">
        <f t="shared" ref="E67:E130" si="8">SUM(A67:D67)</f>
        <v>0</v>
      </c>
      <c r="F67">
        <f>SUM($A$10:A67)</f>
        <v>-1344</v>
      </c>
      <c r="G67">
        <f>SUM($B$10:B67)</f>
        <v>768</v>
      </c>
      <c r="H67">
        <f>SUM($C$10:C67)</f>
        <v>-448</v>
      </c>
      <c r="I67">
        <f>SUM($D$10:D67)</f>
        <v>1024</v>
      </c>
    </row>
    <row r="68" spans="1:9">
      <c r="A68">
        <v>-16</v>
      </c>
      <c r="B68">
        <v>64</v>
      </c>
      <c r="C68">
        <v>-32</v>
      </c>
      <c r="D68">
        <v>-16</v>
      </c>
      <c r="E68" s="8">
        <f t="shared" si="8"/>
        <v>0</v>
      </c>
      <c r="F68">
        <f>SUM($A$10:A68)</f>
        <v>-1360</v>
      </c>
      <c r="G68">
        <f>SUM($B$10:B68)</f>
        <v>832</v>
      </c>
      <c r="H68">
        <f>SUM($C$10:C68)</f>
        <v>-480</v>
      </c>
      <c r="I68">
        <f>SUM($D$10:D68)</f>
        <v>1008</v>
      </c>
    </row>
    <row r="69" spans="1:9">
      <c r="A69">
        <v>-128</v>
      </c>
      <c r="B69">
        <v>-128</v>
      </c>
      <c r="C69">
        <v>384</v>
      </c>
      <c r="D69">
        <v>-128</v>
      </c>
      <c r="E69" s="8">
        <f t="shared" si="8"/>
        <v>0</v>
      </c>
      <c r="F69">
        <f>SUM($A$10:A69)</f>
        <v>-1488</v>
      </c>
      <c r="G69">
        <f>SUM($B$10:B69)</f>
        <v>704</v>
      </c>
      <c r="H69">
        <f>SUM($C$10:C69)</f>
        <v>-96</v>
      </c>
      <c r="I69">
        <f>SUM($D$10:D69)</f>
        <v>880</v>
      </c>
    </row>
    <row r="70" spans="1:9">
      <c r="A70">
        <v>-64</v>
      </c>
      <c r="B70">
        <v>-64</v>
      </c>
      <c r="C70">
        <v>192</v>
      </c>
      <c r="D70">
        <v>-64</v>
      </c>
      <c r="E70" s="8">
        <f t="shared" si="8"/>
        <v>0</v>
      </c>
      <c r="F70">
        <f>SUM($A$10:A70)</f>
        <v>-1552</v>
      </c>
      <c r="G70">
        <f>SUM($B$10:B70)</f>
        <v>640</v>
      </c>
      <c r="H70">
        <f>SUM($C$10:C70)</f>
        <v>96</v>
      </c>
      <c r="I70">
        <f>SUM($D$10:D70)</f>
        <v>816</v>
      </c>
    </row>
    <row r="71" spans="1:9">
      <c r="A71">
        <v>-64</v>
      </c>
      <c r="B71">
        <v>128</v>
      </c>
      <c r="C71">
        <v>-32</v>
      </c>
      <c r="D71">
        <v>-32</v>
      </c>
      <c r="E71" s="8">
        <f t="shared" si="8"/>
        <v>0</v>
      </c>
      <c r="F71">
        <f>SUM($A$10:A71)</f>
        <v>-1616</v>
      </c>
      <c r="G71">
        <f>SUM($B$10:B71)</f>
        <v>768</v>
      </c>
      <c r="H71">
        <f>SUM($C$10:C71)</f>
        <v>64</v>
      </c>
      <c r="I71">
        <f>SUM($D$10:D71)</f>
        <v>784</v>
      </c>
    </row>
    <row r="72" spans="1:9">
      <c r="A72">
        <v>-32</v>
      </c>
      <c r="B72">
        <v>-32</v>
      </c>
      <c r="C72">
        <v>128</v>
      </c>
      <c r="D72">
        <v>-64</v>
      </c>
      <c r="E72" s="8">
        <f t="shared" si="8"/>
        <v>0</v>
      </c>
      <c r="F72">
        <f>SUM($A$10:A72)</f>
        <v>-1648</v>
      </c>
      <c r="G72">
        <f>SUM($B$10:B72)</f>
        <v>736</v>
      </c>
      <c r="H72">
        <f>SUM($C$10:C72)</f>
        <v>192</v>
      </c>
      <c r="I72">
        <f>SUM($D$10:D72)</f>
        <v>720</v>
      </c>
    </row>
    <row r="73" spans="1:9">
      <c r="A73">
        <v>64</v>
      </c>
      <c r="B73">
        <v>-32</v>
      </c>
      <c r="C73">
        <v>-16</v>
      </c>
      <c r="D73">
        <v>-16</v>
      </c>
      <c r="E73" s="8">
        <f t="shared" si="8"/>
        <v>0</v>
      </c>
      <c r="F73">
        <f>SUM($A$10:A73)</f>
        <v>-1584</v>
      </c>
      <c r="G73">
        <f>SUM($B$10:B73)</f>
        <v>704</v>
      </c>
      <c r="H73">
        <f>SUM($C$10:C73)</f>
        <v>176</v>
      </c>
      <c r="I73">
        <f>SUM($D$10:D73)</f>
        <v>704</v>
      </c>
    </row>
    <row r="74" spans="1:9">
      <c r="A74">
        <v>-32</v>
      </c>
      <c r="B74">
        <v>-32</v>
      </c>
      <c r="C74">
        <v>-32</v>
      </c>
      <c r="D74">
        <v>96</v>
      </c>
      <c r="E74" s="8">
        <f t="shared" si="8"/>
        <v>0</v>
      </c>
      <c r="F74">
        <f>SUM($A$10:A74)</f>
        <v>-1616</v>
      </c>
      <c r="G74">
        <f>SUM($B$10:B74)</f>
        <v>672</v>
      </c>
      <c r="H74">
        <f>SUM($C$10:C74)</f>
        <v>144</v>
      </c>
      <c r="I74">
        <f>SUM($D$10:D74)</f>
        <v>800</v>
      </c>
    </row>
    <row r="75" spans="1:9">
      <c r="A75">
        <v>-64</v>
      </c>
      <c r="B75">
        <v>-128</v>
      </c>
      <c r="C75">
        <v>256</v>
      </c>
      <c r="D75">
        <v>-64</v>
      </c>
      <c r="E75" s="8">
        <f t="shared" si="8"/>
        <v>0</v>
      </c>
      <c r="F75">
        <f>SUM($A$10:A75)</f>
        <v>-1680</v>
      </c>
      <c r="G75">
        <f>SUM($B$10:B75)</f>
        <v>544</v>
      </c>
      <c r="H75">
        <f>SUM($C$10:C75)</f>
        <v>400</v>
      </c>
      <c r="I75">
        <f>SUM($D$10:D75)</f>
        <v>736</v>
      </c>
    </row>
    <row r="76" spans="1:9">
      <c r="A76">
        <v>320</v>
      </c>
      <c r="B76">
        <v>-80</v>
      </c>
      <c r="C76">
        <v>-160</v>
      </c>
      <c r="D76">
        <v>-80</v>
      </c>
      <c r="E76" s="8">
        <f t="shared" si="8"/>
        <v>0</v>
      </c>
      <c r="F76">
        <f>SUM($A$10:A76)</f>
        <v>-1360</v>
      </c>
      <c r="G76">
        <f>SUM($B$10:B76)</f>
        <v>464</v>
      </c>
      <c r="H76">
        <f>SUM($C$10:C76)</f>
        <v>240</v>
      </c>
      <c r="I76">
        <f>SUM($D$10:D76)</f>
        <v>656</v>
      </c>
    </row>
    <row r="77" spans="1:9">
      <c r="A77">
        <v>-160</v>
      </c>
      <c r="B77">
        <v>480</v>
      </c>
      <c r="C77">
        <v>-160</v>
      </c>
      <c r="D77">
        <v>-160</v>
      </c>
      <c r="E77" s="8">
        <f t="shared" si="8"/>
        <v>0</v>
      </c>
      <c r="F77">
        <f>SUM($A$10:A77)</f>
        <v>-1520</v>
      </c>
      <c r="G77">
        <f>SUM($B$10:B77)</f>
        <v>944</v>
      </c>
      <c r="H77">
        <f>SUM($C$10:C77)</f>
        <v>80</v>
      </c>
      <c r="I77">
        <f>SUM($D$10:D77)</f>
        <v>496</v>
      </c>
    </row>
    <row r="78" spans="1:9">
      <c r="A78">
        <v>48</v>
      </c>
      <c r="B78">
        <v>-16</v>
      </c>
      <c r="C78">
        <v>-16</v>
      </c>
      <c r="D78">
        <v>-16</v>
      </c>
      <c r="E78" s="8">
        <f t="shared" si="8"/>
        <v>0</v>
      </c>
      <c r="F78">
        <f>SUM($A$10:A78)</f>
        <v>-1472</v>
      </c>
      <c r="G78">
        <f>SUM($B$10:B78)</f>
        <v>928</v>
      </c>
      <c r="H78">
        <f>SUM($C$10:C78)</f>
        <v>64</v>
      </c>
      <c r="I78">
        <f>SUM($D$10:D78)</f>
        <v>480</v>
      </c>
    </row>
    <row r="79" spans="1:9">
      <c r="A79">
        <v>-128</v>
      </c>
      <c r="B79">
        <v>-128</v>
      </c>
      <c r="C79">
        <v>-128</v>
      </c>
      <c r="D79">
        <v>384</v>
      </c>
      <c r="E79" s="8">
        <f t="shared" si="8"/>
        <v>0</v>
      </c>
      <c r="F79">
        <f>SUM($A$10:A79)</f>
        <v>-1600</v>
      </c>
      <c r="G79">
        <f>SUM($B$10:B79)</f>
        <v>800</v>
      </c>
      <c r="H79">
        <f>SUM($C$10:C79)</f>
        <v>-64</v>
      </c>
      <c r="I79">
        <f>SUM($D$10:D79)</f>
        <v>864</v>
      </c>
    </row>
    <row r="80" spans="1:9">
      <c r="A80">
        <v>64</v>
      </c>
      <c r="B80">
        <v>-32</v>
      </c>
      <c r="C80">
        <v>-16</v>
      </c>
      <c r="D80">
        <v>-16</v>
      </c>
      <c r="E80" s="8">
        <f t="shared" si="8"/>
        <v>0</v>
      </c>
      <c r="F80">
        <f>SUM($A$10:A80)</f>
        <v>-1536</v>
      </c>
      <c r="G80">
        <f>SUM($B$10:B80)</f>
        <v>768</v>
      </c>
      <c r="H80">
        <f>SUM($C$10:C80)</f>
        <v>-80</v>
      </c>
      <c r="I80">
        <f>SUM($D$10:D80)</f>
        <v>848</v>
      </c>
    </row>
    <row r="81" spans="1:9">
      <c r="A81">
        <v>256</v>
      </c>
      <c r="B81">
        <v>-128</v>
      </c>
      <c r="C81">
        <v>-64</v>
      </c>
      <c r="D81">
        <v>-64</v>
      </c>
      <c r="E81" s="8">
        <f t="shared" si="8"/>
        <v>0</v>
      </c>
      <c r="F81">
        <f>SUM($A$10:A81)</f>
        <v>-1280</v>
      </c>
      <c r="G81">
        <f>SUM($B$10:B81)</f>
        <v>640</v>
      </c>
      <c r="H81">
        <f>SUM($C$10:C81)</f>
        <v>-144</v>
      </c>
      <c r="I81">
        <f>SUM($D$10:D81)</f>
        <v>784</v>
      </c>
    </row>
    <row r="82" spans="1:9">
      <c r="A82">
        <v>-160</v>
      </c>
      <c r="B82">
        <v>-160</v>
      </c>
      <c r="C82">
        <v>480</v>
      </c>
      <c r="D82">
        <v>-160</v>
      </c>
      <c r="E82" s="8">
        <f t="shared" si="8"/>
        <v>0</v>
      </c>
      <c r="F82">
        <f>SUM($A$10:A82)</f>
        <v>-1440</v>
      </c>
      <c r="G82">
        <f>SUM($B$10:B82)</f>
        <v>480</v>
      </c>
      <c r="H82">
        <f>SUM($C$10:C82)</f>
        <v>336</v>
      </c>
      <c r="I82">
        <f>SUM($D$10:D82)</f>
        <v>624</v>
      </c>
    </row>
    <row r="83" spans="1:9">
      <c r="A83">
        <v>-16</v>
      </c>
      <c r="B83">
        <v>64</v>
      </c>
      <c r="C83">
        <v>-16</v>
      </c>
      <c r="D83">
        <v>-32</v>
      </c>
      <c r="E83" s="8">
        <f t="shared" si="8"/>
        <v>0</v>
      </c>
      <c r="F83">
        <f>SUM($A$10:A83)</f>
        <v>-1456</v>
      </c>
      <c r="G83">
        <f>SUM($B$10:B83)</f>
        <v>544</v>
      </c>
      <c r="H83">
        <f>SUM($C$10:C83)</f>
        <v>320</v>
      </c>
      <c r="I83">
        <f>SUM($D$10:D83)</f>
        <v>592</v>
      </c>
    </row>
    <row r="84" spans="1:9">
      <c r="A84">
        <v>192</v>
      </c>
      <c r="B84">
        <v>-64</v>
      </c>
      <c r="C84">
        <v>-64</v>
      </c>
      <c r="D84">
        <v>-64</v>
      </c>
      <c r="E84" s="8">
        <f t="shared" si="8"/>
        <v>0</v>
      </c>
      <c r="F84">
        <f>SUM($A$10:A84)</f>
        <v>-1264</v>
      </c>
      <c r="G84">
        <f>SUM($B$10:B84)</f>
        <v>480</v>
      </c>
      <c r="H84">
        <f>SUM($C$10:C84)</f>
        <v>256</v>
      </c>
      <c r="I84">
        <f>SUM($D$10:D84)</f>
        <v>528</v>
      </c>
    </row>
    <row r="85" spans="1:9">
      <c r="A85">
        <v>-16</v>
      </c>
      <c r="B85">
        <v>64</v>
      </c>
      <c r="C85">
        <v>-16</v>
      </c>
      <c r="D85">
        <v>-32</v>
      </c>
      <c r="E85" s="8">
        <f t="shared" si="8"/>
        <v>0</v>
      </c>
      <c r="F85">
        <f>SUM($A$10:A85)</f>
        <v>-1280</v>
      </c>
      <c r="G85">
        <f>SUM($B$10:B85)</f>
        <v>544</v>
      </c>
      <c r="H85">
        <f>SUM($C$10:C85)</f>
        <v>240</v>
      </c>
      <c r="I85">
        <f>SUM($D$10:D85)</f>
        <v>496</v>
      </c>
    </row>
    <row r="86" spans="1:9">
      <c r="A86">
        <v>-128</v>
      </c>
      <c r="B86">
        <v>-128</v>
      </c>
      <c r="C86">
        <v>-128</v>
      </c>
      <c r="D86">
        <v>384</v>
      </c>
      <c r="E86" s="8">
        <f t="shared" si="8"/>
        <v>0</v>
      </c>
      <c r="F86">
        <f>SUM($A$10:A86)</f>
        <v>-1408</v>
      </c>
      <c r="G86">
        <f>SUM($B$10:B86)</f>
        <v>416</v>
      </c>
      <c r="H86">
        <f>SUM($C$10:C86)</f>
        <v>112</v>
      </c>
      <c r="I86">
        <f>SUM($D$10:D86)</f>
        <v>880</v>
      </c>
    </row>
    <row r="87" spans="1:9">
      <c r="A87">
        <v>-16</v>
      </c>
      <c r="B87">
        <v>64</v>
      </c>
      <c r="C87">
        <v>-32</v>
      </c>
      <c r="D87">
        <v>-16</v>
      </c>
      <c r="E87" s="8">
        <f t="shared" si="8"/>
        <v>0</v>
      </c>
      <c r="F87">
        <f>SUM($A$10:A87)</f>
        <v>-1424</v>
      </c>
      <c r="G87">
        <f>SUM($B$10:B87)</f>
        <v>480</v>
      </c>
      <c r="H87">
        <f>SUM($C$10:C87)</f>
        <v>80</v>
      </c>
      <c r="I87">
        <f>SUM($D$10:D87)</f>
        <v>864</v>
      </c>
    </row>
    <row r="88" spans="1:9">
      <c r="A88">
        <v>64</v>
      </c>
      <c r="B88">
        <v>-32</v>
      </c>
      <c r="C88">
        <v>-16</v>
      </c>
      <c r="D88">
        <v>-16</v>
      </c>
      <c r="E88" s="8">
        <f t="shared" si="8"/>
        <v>0</v>
      </c>
      <c r="F88">
        <f>SUM($A$10:A88)</f>
        <v>-1360</v>
      </c>
      <c r="G88">
        <f>SUM($B$10:B88)</f>
        <v>448</v>
      </c>
      <c r="H88">
        <f>SUM($C$10:C88)</f>
        <v>64</v>
      </c>
      <c r="I88">
        <f>SUM($D$10:D88)</f>
        <v>848</v>
      </c>
    </row>
    <row r="89" spans="1:9">
      <c r="A89">
        <v>-32</v>
      </c>
      <c r="B89">
        <v>-32</v>
      </c>
      <c r="C89">
        <v>-32</v>
      </c>
      <c r="D89">
        <v>96</v>
      </c>
      <c r="E89" s="8">
        <f t="shared" si="8"/>
        <v>0</v>
      </c>
      <c r="F89">
        <f>SUM($A$10:A89)</f>
        <v>-1392</v>
      </c>
      <c r="G89">
        <f>SUM($B$10:B89)</f>
        <v>416</v>
      </c>
      <c r="H89">
        <f>SUM($C$10:C89)</f>
        <v>32</v>
      </c>
      <c r="I89">
        <f>SUM($D$10:D89)</f>
        <v>944</v>
      </c>
    </row>
    <row r="90" spans="1:9">
      <c r="A90">
        <v>64</v>
      </c>
      <c r="B90">
        <v>-16</v>
      </c>
      <c r="C90">
        <v>-32</v>
      </c>
      <c r="D90">
        <v>-16</v>
      </c>
      <c r="E90" s="8">
        <f t="shared" si="8"/>
        <v>0</v>
      </c>
      <c r="F90">
        <f>SUM($A$10:A90)</f>
        <v>-1328</v>
      </c>
      <c r="G90">
        <f>SUM($B$10:B90)</f>
        <v>400</v>
      </c>
      <c r="H90">
        <f>SUM($C$10:C90)</f>
        <v>0</v>
      </c>
      <c r="I90">
        <f>SUM($D$10:D90)</f>
        <v>928</v>
      </c>
    </row>
    <row r="91" spans="1:9">
      <c r="A91">
        <v>-8</v>
      </c>
      <c r="B91">
        <v>-8</v>
      </c>
      <c r="C91">
        <v>32</v>
      </c>
      <c r="D91">
        <v>-16</v>
      </c>
      <c r="E91" s="8">
        <f t="shared" si="8"/>
        <v>0</v>
      </c>
      <c r="F91">
        <f>SUM($A$10:A91)</f>
        <v>-1336</v>
      </c>
      <c r="G91">
        <f>SUM($B$10:B91)</f>
        <v>392</v>
      </c>
      <c r="H91">
        <f>SUM($C$10:C91)</f>
        <v>32</v>
      </c>
      <c r="I91">
        <f>SUM($D$10:D91)</f>
        <v>912</v>
      </c>
    </row>
    <row r="92" spans="1:9">
      <c r="A92">
        <v>-160</v>
      </c>
      <c r="B92">
        <v>-80</v>
      </c>
      <c r="C92">
        <v>-80</v>
      </c>
      <c r="D92">
        <v>320</v>
      </c>
      <c r="E92" s="8">
        <f t="shared" si="8"/>
        <v>0</v>
      </c>
      <c r="F92">
        <f>SUM($A$10:A92)</f>
        <v>-1496</v>
      </c>
      <c r="G92">
        <f>SUM($B$10:B92)</f>
        <v>312</v>
      </c>
      <c r="H92">
        <f>SUM($C$10:C92)</f>
        <v>-48</v>
      </c>
      <c r="I92">
        <f>SUM($D$10:D92)</f>
        <v>1232</v>
      </c>
    </row>
    <row r="93" spans="1:9">
      <c r="A93">
        <v>-8</v>
      </c>
      <c r="B93">
        <v>32</v>
      </c>
      <c r="C93">
        <v>-16</v>
      </c>
      <c r="D93">
        <v>-8</v>
      </c>
      <c r="E93" s="8">
        <f t="shared" si="8"/>
        <v>0</v>
      </c>
      <c r="F93">
        <f>SUM($A$10:A93)</f>
        <v>-1504</v>
      </c>
      <c r="G93">
        <f>SUM($B$10:B93)</f>
        <v>344</v>
      </c>
      <c r="H93">
        <f>SUM($C$10:C93)</f>
        <v>-64</v>
      </c>
      <c r="I93">
        <f>SUM($D$10:D93)</f>
        <v>1224</v>
      </c>
    </row>
    <row r="94" spans="1:9">
      <c r="A94">
        <v>-32</v>
      </c>
      <c r="B94">
        <v>96</v>
      </c>
      <c r="C94">
        <v>-32</v>
      </c>
      <c r="D94">
        <v>-32</v>
      </c>
      <c r="E94" s="8">
        <f t="shared" si="8"/>
        <v>0</v>
      </c>
      <c r="F94">
        <f>SUM($A$10:A94)</f>
        <v>-1536</v>
      </c>
      <c r="G94">
        <f>SUM($B$10:B94)</f>
        <v>440</v>
      </c>
      <c r="H94">
        <f>SUM($C$10:C94)</f>
        <v>-96</v>
      </c>
      <c r="I94">
        <f>SUM($D$10:D94)</f>
        <v>1192</v>
      </c>
    </row>
    <row r="95" spans="1:9">
      <c r="A95">
        <v>-32</v>
      </c>
      <c r="B95">
        <v>-16</v>
      </c>
      <c r="C95">
        <v>-16</v>
      </c>
      <c r="D95">
        <v>64</v>
      </c>
      <c r="E95" s="8">
        <f t="shared" si="8"/>
        <v>0</v>
      </c>
      <c r="F95">
        <f>SUM($A$10:A95)</f>
        <v>-1568</v>
      </c>
      <c r="G95">
        <f>SUM($B$10:B95)</f>
        <v>424</v>
      </c>
      <c r="H95">
        <f>SUM($C$10:C95)</f>
        <v>-112</v>
      </c>
      <c r="I95">
        <f>SUM($D$10:D95)</f>
        <v>1256</v>
      </c>
    </row>
    <row r="96" spans="1:9">
      <c r="A96">
        <v>-160</v>
      </c>
      <c r="B96">
        <v>-160</v>
      </c>
      <c r="C96">
        <v>480</v>
      </c>
      <c r="D96">
        <v>-160</v>
      </c>
      <c r="E96" s="8">
        <f t="shared" si="8"/>
        <v>0</v>
      </c>
      <c r="F96">
        <f>SUM($A$10:A96)</f>
        <v>-1728</v>
      </c>
      <c r="G96">
        <f>SUM($B$10:B96)</f>
        <v>264</v>
      </c>
      <c r="H96">
        <f>SUM($C$10:C96)</f>
        <v>368</v>
      </c>
      <c r="I96">
        <f>SUM($D$10:D96)</f>
        <v>1096</v>
      </c>
    </row>
    <row r="97" spans="1:9">
      <c r="A97">
        <v>-128</v>
      </c>
      <c r="B97">
        <v>-64</v>
      </c>
      <c r="C97">
        <v>-64</v>
      </c>
      <c r="D97">
        <v>256</v>
      </c>
      <c r="E97" s="8">
        <f t="shared" si="8"/>
        <v>0</v>
      </c>
      <c r="F97">
        <f>SUM($A$10:A97)</f>
        <v>-1856</v>
      </c>
      <c r="G97">
        <f>SUM($B$10:B97)</f>
        <v>200</v>
      </c>
      <c r="H97">
        <f>SUM($C$10:C97)</f>
        <v>304</v>
      </c>
      <c r="I97">
        <f>SUM($D$10:D97)</f>
        <v>1352</v>
      </c>
    </row>
    <row r="98" spans="1:9">
      <c r="A98">
        <v>-32</v>
      </c>
      <c r="B98">
        <v>-64</v>
      </c>
      <c r="C98">
        <v>-32</v>
      </c>
      <c r="D98">
        <v>128</v>
      </c>
      <c r="E98" s="8">
        <f t="shared" si="8"/>
        <v>0</v>
      </c>
      <c r="F98">
        <f>SUM($A$10:A98)</f>
        <v>-1888</v>
      </c>
      <c r="G98">
        <f>SUM($B$10:B98)</f>
        <v>136</v>
      </c>
      <c r="H98">
        <f>SUM($C$10:C98)</f>
        <v>272</v>
      </c>
      <c r="I98">
        <f>SUM($D$10:D98)</f>
        <v>1480</v>
      </c>
    </row>
    <row r="99" spans="1:9">
      <c r="A99">
        <v>-64</v>
      </c>
      <c r="B99">
        <v>-32</v>
      </c>
      <c r="C99">
        <v>-32</v>
      </c>
      <c r="D99">
        <v>128</v>
      </c>
      <c r="E99" s="8">
        <f t="shared" si="8"/>
        <v>0</v>
      </c>
      <c r="F99">
        <f>SUM($A$10:A99)</f>
        <v>-1952</v>
      </c>
      <c r="G99">
        <f>SUM($B$10:B99)</f>
        <v>104</v>
      </c>
      <c r="H99">
        <f>SUM($C$10:C99)</f>
        <v>240</v>
      </c>
      <c r="I99">
        <f>SUM($D$10:D99)</f>
        <v>1608</v>
      </c>
    </row>
    <row r="100" spans="1:9">
      <c r="A100">
        <v>-16</v>
      </c>
      <c r="B100">
        <v>32</v>
      </c>
      <c r="C100">
        <v>-8</v>
      </c>
      <c r="D100">
        <v>-8</v>
      </c>
      <c r="E100" s="8">
        <f t="shared" si="8"/>
        <v>0</v>
      </c>
      <c r="F100">
        <f>SUM($A$10:A100)</f>
        <v>-1968</v>
      </c>
      <c r="G100">
        <f>SUM($B$10:B100)</f>
        <v>136</v>
      </c>
      <c r="H100">
        <f>SUM($C$10:C100)</f>
        <v>232</v>
      </c>
      <c r="I100">
        <f>SUM($D$10:D100)</f>
        <v>1600</v>
      </c>
    </row>
    <row r="101" spans="1:9">
      <c r="A101">
        <v>-32</v>
      </c>
      <c r="B101">
        <v>-16</v>
      </c>
      <c r="C101">
        <v>64</v>
      </c>
      <c r="D101">
        <v>-16</v>
      </c>
      <c r="E101" s="8">
        <f t="shared" si="8"/>
        <v>0</v>
      </c>
      <c r="F101">
        <f>SUM($A$10:A101)</f>
        <v>-2000</v>
      </c>
      <c r="G101">
        <f>SUM($B$10:B101)</f>
        <v>120</v>
      </c>
      <c r="H101">
        <f>SUM($C$10:C101)</f>
        <v>296</v>
      </c>
      <c r="I101">
        <f>SUM($D$10:D101)</f>
        <v>1584</v>
      </c>
    </row>
    <row r="102" spans="1:9">
      <c r="A102">
        <v>-32</v>
      </c>
      <c r="B102">
        <v>-16</v>
      </c>
      <c r="C102">
        <v>64</v>
      </c>
      <c r="D102">
        <v>-16</v>
      </c>
      <c r="E102" s="8">
        <f t="shared" si="8"/>
        <v>0</v>
      </c>
      <c r="F102">
        <f>SUM($A$10:A102)</f>
        <v>-2032</v>
      </c>
      <c r="G102">
        <f>SUM($B$10:B102)</f>
        <v>104</v>
      </c>
      <c r="H102">
        <f>SUM($C$10:C102)</f>
        <v>360</v>
      </c>
      <c r="I102">
        <f>SUM($D$10:D102)</f>
        <v>1568</v>
      </c>
    </row>
    <row r="103" spans="1:9">
      <c r="A103">
        <v>-16</v>
      </c>
      <c r="B103">
        <v>-16</v>
      </c>
      <c r="C103">
        <v>64</v>
      </c>
      <c r="D103">
        <v>-32</v>
      </c>
      <c r="E103" s="8">
        <f t="shared" si="8"/>
        <v>0</v>
      </c>
      <c r="F103">
        <f>SUM($A$10:A103)</f>
        <v>-2048</v>
      </c>
      <c r="G103">
        <f>SUM($B$10:B103)</f>
        <v>88</v>
      </c>
      <c r="H103">
        <f>SUM($C$10:C103)</f>
        <v>424</v>
      </c>
      <c r="I103">
        <f>SUM($D$10:D103)</f>
        <v>1536</v>
      </c>
    </row>
    <row r="104" spans="1:9">
      <c r="A104">
        <v>-32</v>
      </c>
      <c r="B104">
        <v>64</v>
      </c>
      <c r="C104">
        <v>-16</v>
      </c>
      <c r="D104">
        <v>-16</v>
      </c>
      <c r="E104" s="8">
        <f t="shared" si="8"/>
        <v>0</v>
      </c>
      <c r="F104">
        <f>SUM($A$10:A104)</f>
        <v>-2080</v>
      </c>
      <c r="G104">
        <f>SUM($B$10:B104)</f>
        <v>152</v>
      </c>
      <c r="H104">
        <f>SUM($C$10:C104)</f>
        <v>408</v>
      </c>
      <c r="I104">
        <f>SUM($D$10:D104)</f>
        <v>1520</v>
      </c>
    </row>
    <row r="105" spans="1:9">
      <c r="A105">
        <v>-32</v>
      </c>
      <c r="B105">
        <v>-16</v>
      </c>
      <c r="C105">
        <v>64</v>
      </c>
      <c r="D105">
        <v>-16</v>
      </c>
      <c r="E105" s="8">
        <f t="shared" si="8"/>
        <v>0</v>
      </c>
      <c r="F105">
        <f>SUM($A$10:A105)</f>
        <v>-2112</v>
      </c>
      <c r="G105">
        <f>SUM($B$10:B105)</f>
        <v>136</v>
      </c>
      <c r="H105">
        <f>SUM($C$10:C105)</f>
        <v>472</v>
      </c>
      <c r="I105">
        <f>SUM($D$10:D105)</f>
        <v>1504</v>
      </c>
    </row>
    <row r="106" spans="1:9">
      <c r="A106">
        <v>-32</v>
      </c>
      <c r="B106">
        <v>-16</v>
      </c>
      <c r="C106">
        <v>64</v>
      </c>
      <c r="D106">
        <v>-16</v>
      </c>
      <c r="E106" s="8">
        <f t="shared" si="8"/>
        <v>0</v>
      </c>
      <c r="F106">
        <f>SUM($A$10:A106)</f>
        <v>-2144</v>
      </c>
      <c r="G106">
        <f>SUM($B$10:B106)</f>
        <v>120</v>
      </c>
      <c r="H106">
        <f>SUM($C$10:C106)</f>
        <v>536</v>
      </c>
      <c r="I106">
        <f>SUM($D$10:D106)</f>
        <v>1488</v>
      </c>
    </row>
    <row r="107" spans="1:9">
      <c r="A107">
        <v>-16</v>
      </c>
      <c r="B107">
        <v>-16</v>
      </c>
      <c r="C107">
        <v>64</v>
      </c>
      <c r="D107">
        <v>-32</v>
      </c>
      <c r="E107" s="8">
        <f t="shared" si="8"/>
        <v>0</v>
      </c>
      <c r="F107">
        <f>SUM($A$10:A107)</f>
        <v>-2160</v>
      </c>
      <c r="G107">
        <f>SUM($B$10:B107)</f>
        <v>104</v>
      </c>
      <c r="H107">
        <f>SUM($C$10:C107)</f>
        <v>600</v>
      </c>
      <c r="I107">
        <f>SUM($D$10:D107)</f>
        <v>1456</v>
      </c>
    </row>
    <row r="108" spans="1:9">
      <c r="A108" s="9">
        <v>-32</v>
      </c>
      <c r="B108" s="9">
        <v>64</v>
      </c>
      <c r="C108" s="9">
        <v>-16</v>
      </c>
      <c r="D108" s="9">
        <v>-16</v>
      </c>
      <c r="E108" s="8">
        <f t="shared" si="8"/>
        <v>0</v>
      </c>
      <c r="F108">
        <f>SUM($A$10:A108)</f>
        <v>-2192</v>
      </c>
      <c r="G108">
        <f>SUM($B$10:B108)</f>
        <v>168</v>
      </c>
      <c r="H108">
        <f>SUM($C$10:C108)</f>
        <v>584</v>
      </c>
      <c r="I108">
        <f>SUM($D$10:D108)</f>
        <v>1440</v>
      </c>
    </row>
    <row r="109" spans="1:9">
      <c r="E109" s="8">
        <f t="shared" si="8"/>
        <v>0</v>
      </c>
    </row>
    <row r="110" spans="1:9">
      <c r="E110" s="8">
        <f t="shared" si="8"/>
        <v>0</v>
      </c>
    </row>
    <row r="111" spans="1:9">
      <c r="E111" s="8">
        <f t="shared" si="8"/>
        <v>0</v>
      </c>
    </row>
    <row r="112" spans="1:9">
      <c r="E112" s="8">
        <f t="shared" si="8"/>
        <v>0</v>
      </c>
    </row>
    <row r="113" spans="5:5">
      <c r="E113" s="8">
        <f t="shared" si="8"/>
        <v>0</v>
      </c>
    </row>
    <row r="114" spans="5:5">
      <c r="E114" s="8">
        <f t="shared" si="8"/>
        <v>0</v>
      </c>
    </row>
    <row r="115" spans="5:5">
      <c r="E115" s="8">
        <f t="shared" si="8"/>
        <v>0</v>
      </c>
    </row>
    <row r="116" spans="5:5">
      <c r="E116" s="8">
        <f t="shared" si="8"/>
        <v>0</v>
      </c>
    </row>
    <row r="117" spans="5:5">
      <c r="E117" s="8">
        <f t="shared" si="8"/>
        <v>0</v>
      </c>
    </row>
    <row r="118" spans="5:5">
      <c r="E118" s="8">
        <f t="shared" si="8"/>
        <v>0</v>
      </c>
    </row>
    <row r="119" spans="5:5">
      <c r="E119" s="8">
        <f t="shared" si="8"/>
        <v>0</v>
      </c>
    </row>
    <row r="120" spans="5:5">
      <c r="E120" s="8">
        <f t="shared" si="8"/>
        <v>0</v>
      </c>
    </row>
    <row r="121" spans="5:5">
      <c r="E121" s="8">
        <f t="shared" si="8"/>
        <v>0</v>
      </c>
    </row>
    <row r="122" spans="5:5">
      <c r="E122" s="8">
        <f t="shared" si="8"/>
        <v>0</v>
      </c>
    </row>
    <row r="123" spans="5:5">
      <c r="E123" s="8">
        <f t="shared" si="8"/>
        <v>0</v>
      </c>
    </row>
    <row r="124" spans="5:5">
      <c r="E124" s="8">
        <f t="shared" si="8"/>
        <v>0</v>
      </c>
    </row>
    <row r="125" spans="5:5">
      <c r="E125" s="8">
        <f t="shared" si="8"/>
        <v>0</v>
      </c>
    </row>
    <row r="126" spans="5:5">
      <c r="E126" s="8">
        <f t="shared" si="8"/>
        <v>0</v>
      </c>
    </row>
    <row r="127" spans="5:5">
      <c r="E127" s="8">
        <f t="shared" si="8"/>
        <v>0</v>
      </c>
    </row>
    <row r="128" spans="5:5">
      <c r="E128" s="8">
        <f t="shared" si="8"/>
        <v>0</v>
      </c>
    </row>
    <row r="129" spans="5:5">
      <c r="E129" s="8">
        <f t="shared" si="8"/>
        <v>0</v>
      </c>
    </row>
    <row r="130" spans="5:5">
      <c r="E130" s="8">
        <f t="shared" si="8"/>
        <v>0</v>
      </c>
    </row>
    <row r="131" spans="5:5">
      <c r="E131" s="8">
        <f t="shared" ref="E131:E146" si="9">SUM(A131:D131)</f>
        <v>0</v>
      </c>
    </row>
    <row r="132" spans="5:5">
      <c r="E132" s="8">
        <f t="shared" si="9"/>
        <v>0</v>
      </c>
    </row>
    <row r="133" spans="5:5">
      <c r="E133" s="8">
        <f t="shared" si="9"/>
        <v>0</v>
      </c>
    </row>
    <row r="134" spans="5:5">
      <c r="E134" s="8">
        <f t="shared" si="9"/>
        <v>0</v>
      </c>
    </row>
    <row r="135" spans="5:5">
      <c r="E135" s="8">
        <f t="shared" si="9"/>
        <v>0</v>
      </c>
    </row>
    <row r="136" spans="5:5">
      <c r="E136" s="8">
        <f t="shared" si="9"/>
        <v>0</v>
      </c>
    </row>
    <row r="137" spans="5:5">
      <c r="E137" s="8">
        <f t="shared" si="9"/>
        <v>0</v>
      </c>
    </row>
    <row r="138" spans="5:5">
      <c r="E138" s="8">
        <f t="shared" si="9"/>
        <v>0</v>
      </c>
    </row>
    <row r="139" spans="5:5">
      <c r="E139" s="8">
        <f t="shared" si="9"/>
        <v>0</v>
      </c>
    </row>
    <row r="140" spans="5:5">
      <c r="E140" s="8">
        <f t="shared" si="9"/>
        <v>0</v>
      </c>
    </row>
    <row r="141" spans="5:5">
      <c r="E141" s="8">
        <f t="shared" si="9"/>
        <v>0</v>
      </c>
    </row>
    <row r="142" spans="5:5">
      <c r="E142" s="8">
        <f t="shared" si="9"/>
        <v>0</v>
      </c>
    </row>
    <row r="143" spans="5:5">
      <c r="E143" s="8">
        <f t="shared" si="9"/>
        <v>0</v>
      </c>
    </row>
    <row r="144" spans="5:5">
      <c r="E144" s="8">
        <f t="shared" si="9"/>
        <v>0</v>
      </c>
    </row>
    <row r="145" spans="5:5">
      <c r="E145" s="8">
        <f t="shared" si="9"/>
        <v>0</v>
      </c>
    </row>
    <row r="146" spans="5:5">
      <c r="E146" s="8">
        <f t="shared" si="9"/>
        <v>0</v>
      </c>
    </row>
  </sheetData>
  <conditionalFormatting sqref="E2:E997">
    <cfRule type="cellIs" dxfId="23" priority="2" operator="notEqual">
      <formula>0</formula>
    </cfRule>
  </conditionalFormatting>
  <conditionalFormatting sqref="A2:D1000">
    <cfRule type="cellIs" dxfId="22" priority="1" operator="greaterThan">
      <formula>0</formula>
    </cfRule>
  </conditionalFormatting>
  <pageMargins left="0.7" right="0.7" top="0.75" bottom="0.75" header="0.3" footer="0.3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6"/>
  <sheetViews>
    <sheetView tabSelected="1" workbookViewId="0">
      <pane ySplit="1" topLeftCell="A39" activePane="bottomLeft" state="frozen"/>
      <selection pane="bottomLeft" activeCell="A55" sqref="A55"/>
    </sheetView>
  </sheetViews>
  <sheetFormatPr defaultRowHeight="15"/>
  <cols>
    <col min="1" max="1" width="24.7109375" customWidth="1"/>
    <col min="2" max="2" width="14" customWidth="1"/>
    <col min="4" max="4" width="10" bestFit="1" customWidth="1"/>
    <col min="7" max="7" width="11.5703125" style="8" bestFit="1" customWidth="1"/>
    <col min="8" max="8" width="15.5703125" hidden="1" customWidth="1"/>
    <col min="9" max="11" width="11.5703125" hidden="1" customWidth="1"/>
    <col min="13" max="13" width="12.7109375" customWidth="1"/>
    <col min="15" max="15" width="10" bestFit="1" customWidth="1"/>
    <col min="17" max="17" width="8.7109375" hidden="1" customWidth="1"/>
  </cols>
  <sheetData>
    <row r="1" spans="1:18" s="3" customFormat="1">
      <c r="A1" s="3" t="s">
        <v>19</v>
      </c>
      <c r="B1" s="3" t="s">
        <v>20</v>
      </c>
      <c r="C1" s="4" t="s">
        <v>0</v>
      </c>
      <c r="D1" s="4" t="s">
        <v>1</v>
      </c>
      <c r="E1" s="4" t="s">
        <v>2</v>
      </c>
      <c r="F1" s="4" t="s">
        <v>3</v>
      </c>
      <c r="G1" s="7" t="s">
        <v>4</v>
      </c>
      <c r="H1" s="15" t="s">
        <v>5</v>
      </c>
      <c r="I1" s="16" t="s">
        <v>6</v>
      </c>
      <c r="J1" s="16" t="s">
        <v>7</v>
      </c>
      <c r="K1" s="16" t="s">
        <v>8</v>
      </c>
      <c r="M1" s="3" t="s">
        <v>9</v>
      </c>
      <c r="N1" s="4" t="s">
        <v>0</v>
      </c>
      <c r="O1" s="4" t="s">
        <v>1</v>
      </c>
      <c r="P1" s="4" t="s">
        <v>2</v>
      </c>
      <c r="Q1" s="4" t="s">
        <v>10</v>
      </c>
      <c r="R1" s="4" t="s">
        <v>3</v>
      </c>
    </row>
    <row r="2" spans="1:18">
      <c r="A2" s="5">
        <v>45620</v>
      </c>
      <c r="B2">
        <v>1</v>
      </c>
      <c r="C2">
        <v>-64</v>
      </c>
      <c r="D2">
        <v>256</v>
      </c>
      <c r="E2">
        <v>-64</v>
      </c>
      <c r="F2" s="10"/>
      <c r="G2" s="8">
        <f>SUM(C2:F2)</f>
        <v>128</v>
      </c>
      <c r="H2">
        <f>SUM($C$2:C2)</f>
        <v>-64</v>
      </c>
      <c r="I2">
        <f>SUM($D$2:D2)</f>
        <v>256</v>
      </c>
      <c r="J2">
        <f>SUM($E$2:E2)</f>
        <v>-64</v>
      </c>
      <c r="K2" s="10">
        <f>SUM($F$2:F2)</f>
        <v>0</v>
      </c>
      <c r="M2" t="s">
        <v>11</v>
      </c>
      <c r="N2">
        <f>SUM(C10:C997)</f>
        <v>-2624</v>
      </c>
      <c r="O2">
        <f>SUM(D10:D997)</f>
        <v>-136</v>
      </c>
      <c r="P2">
        <f>SUM(E10:E997)</f>
        <v>440</v>
      </c>
      <c r="Q2" t="e">
        <f>SUM(#REF!)</f>
        <v>#REF!</v>
      </c>
      <c r="R2">
        <f>SUM(F10:F997)</f>
        <v>2320</v>
      </c>
    </row>
    <row r="3" spans="1:18">
      <c r="A3" s="5"/>
      <c r="B3">
        <v>2</v>
      </c>
      <c r="C3">
        <v>-128</v>
      </c>
      <c r="D3">
        <v>-128</v>
      </c>
      <c r="E3">
        <v>-128</v>
      </c>
      <c r="F3" s="10"/>
      <c r="G3" s="8">
        <f t="shared" ref="G3:G68" si="0">SUM(C3:F3)</f>
        <v>-384</v>
      </c>
      <c r="H3">
        <f>SUM($C$2:C3)</f>
        <v>-192</v>
      </c>
      <c r="I3">
        <f>SUM($D$2:D3)</f>
        <v>128</v>
      </c>
      <c r="J3">
        <f>SUM($E$2:E3)</f>
        <v>-192</v>
      </c>
      <c r="K3" s="10">
        <f>SUM($F$2:F3)</f>
        <v>0</v>
      </c>
      <c r="M3" t="s">
        <v>12</v>
      </c>
      <c r="N3">
        <f>COUNTIF(C10:C997,"&gt;0")</f>
        <v>21</v>
      </c>
      <c r="O3">
        <f>COUNTIF(D10:D997,"&gt;0")</f>
        <v>29</v>
      </c>
      <c r="P3">
        <f>COUNTIF(E10:E997,"&gt;0")</f>
        <v>31</v>
      </c>
      <c r="Q3" t="e">
        <f>COUNTIF(#REF!,"&gt;0")</f>
        <v>#REF!</v>
      </c>
      <c r="R3">
        <f>COUNTIF(F10:F997,"&gt;0")</f>
        <v>29</v>
      </c>
    </row>
    <row r="4" spans="1:18">
      <c r="A4" s="5"/>
      <c r="B4">
        <v>3</v>
      </c>
      <c r="C4">
        <v>320</v>
      </c>
      <c r="D4">
        <v>-160</v>
      </c>
      <c r="E4">
        <v>-80</v>
      </c>
      <c r="F4" s="10"/>
      <c r="G4" s="8">
        <f t="shared" si="0"/>
        <v>80</v>
      </c>
      <c r="H4">
        <f>SUM($C$2:C4)</f>
        <v>128</v>
      </c>
      <c r="I4">
        <f>SUM($D$2:D4)</f>
        <v>-32</v>
      </c>
      <c r="J4">
        <f>SUM($E$2:E4)</f>
        <v>-272</v>
      </c>
      <c r="K4" s="10">
        <f>SUM($F$2:F4)</f>
        <v>0</v>
      </c>
      <c r="M4" t="s">
        <v>13</v>
      </c>
      <c r="N4">
        <f>COUNTIF(C10:C997,"&lt;0")</f>
        <v>89</v>
      </c>
      <c r="O4">
        <f>COUNTIF(D10:D997,"&lt;0")</f>
        <v>81</v>
      </c>
      <c r="P4">
        <f>COUNTIF(E10:E997,"&lt;0")</f>
        <v>79</v>
      </c>
      <c r="Q4" t="e">
        <f>COUNTIF(#REF!,"&lt;0")</f>
        <v>#REF!</v>
      </c>
      <c r="R4">
        <f>COUNTIF(F10:F997,"&lt;0")</f>
        <v>81</v>
      </c>
    </row>
    <row r="5" spans="1:18">
      <c r="A5" s="5"/>
      <c r="B5">
        <v>4</v>
      </c>
      <c r="C5">
        <v>-16</v>
      </c>
      <c r="D5">
        <v>-32</v>
      </c>
      <c r="E5">
        <v>64</v>
      </c>
      <c r="F5" s="10"/>
      <c r="G5" s="8">
        <f t="shared" si="0"/>
        <v>16</v>
      </c>
      <c r="H5">
        <f>SUM($C$2:C5)</f>
        <v>112</v>
      </c>
      <c r="I5">
        <f>SUM($D$2:D5)</f>
        <v>-64</v>
      </c>
      <c r="J5">
        <f>SUM($E$2:E5)</f>
        <v>-208</v>
      </c>
      <c r="K5" s="10">
        <f>SUM($F$2:F5)</f>
        <v>0</v>
      </c>
      <c r="M5" t="s">
        <v>14</v>
      </c>
      <c r="N5" s="2">
        <f>N3/(N3+N4)</f>
        <v>0.19090909090909092</v>
      </c>
      <c r="O5" s="2">
        <f t="shared" ref="O5:R5" si="1">O3/(O3+O4)</f>
        <v>0.26363636363636361</v>
      </c>
      <c r="P5" s="2">
        <f t="shared" si="1"/>
        <v>0.2818181818181818</v>
      </c>
      <c r="Q5" s="2" t="e">
        <f t="shared" si="1"/>
        <v>#REF!</v>
      </c>
      <c r="R5" s="2">
        <f t="shared" si="1"/>
        <v>0.26363636363636361</v>
      </c>
    </row>
    <row r="6" spans="1:18">
      <c r="A6" s="5"/>
      <c r="B6">
        <v>5</v>
      </c>
      <c r="C6">
        <v>-32</v>
      </c>
      <c r="D6">
        <v>96</v>
      </c>
      <c r="E6">
        <v>-32</v>
      </c>
      <c r="F6" s="10"/>
      <c r="G6" s="8">
        <f t="shared" si="0"/>
        <v>32</v>
      </c>
      <c r="H6">
        <f>SUM($C$2:C6)</f>
        <v>80</v>
      </c>
      <c r="I6">
        <f>SUM($D$2:D6)</f>
        <v>32</v>
      </c>
      <c r="J6">
        <f>SUM($E$2:E6)</f>
        <v>-240</v>
      </c>
      <c r="K6" s="10">
        <f>SUM($F$2:F6)</f>
        <v>0</v>
      </c>
      <c r="M6" t="s">
        <v>15</v>
      </c>
      <c r="N6">
        <f>MAX(C2:C997)</f>
        <v>640</v>
      </c>
      <c r="O6">
        <f>MAX(D2:D997)</f>
        <v>960</v>
      </c>
      <c r="P6">
        <f>MAX(E2:E997)</f>
        <v>960</v>
      </c>
      <c r="Q6" t="e">
        <f>MAX(#REF!)</f>
        <v>#REF!</v>
      </c>
      <c r="R6">
        <f>MAX(F2:F997)</f>
        <v>960</v>
      </c>
    </row>
    <row r="7" spans="1:18">
      <c r="A7" s="5"/>
      <c r="B7">
        <v>6</v>
      </c>
      <c r="C7">
        <v>-128</v>
      </c>
      <c r="D7">
        <v>128</v>
      </c>
      <c r="E7">
        <v>-64</v>
      </c>
      <c r="F7" s="10"/>
      <c r="G7" s="8">
        <f t="shared" si="0"/>
        <v>-64</v>
      </c>
      <c r="H7">
        <f>SUM($C$2:C7)</f>
        <v>-48</v>
      </c>
      <c r="I7">
        <f>SUM($D$2:D7)</f>
        <v>160</v>
      </c>
      <c r="J7">
        <f>SUM($E$2:E7)</f>
        <v>-304</v>
      </c>
      <c r="K7" s="10">
        <f>SUM($F$2:F7)</f>
        <v>0</v>
      </c>
      <c r="M7" t="s">
        <v>16</v>
      </c>
      <c r="N7" s="1">
        <f>AVERAGEIF(C10:C997,"&gt;0")</f>
        <v>163.04761904761904</v>
      </c>
      <c r="O7" s="1">
        <f>AVERAGEIF(D10:D997,"&gt;0")</f>
        <v>179.31034482758622</v>
      </c>
      <c r="P7" s="1">
        <f>AVERAGEIF(E10:E997,"&gt;0")</f>
        <v>183.74193548387098</v>
      </c>
      <c r="Q7" s="1" t="e">
        <f>AVERAGEIF(#REF!,"&gt;0")</f>
        <v>#REF!</v>
      </c>
      <c r="R7" s="1">
        <f>AVERAGEIF(F10:F997,"&gt;0")</f>
        <v>236.13793103448276</v>
      </c>
    </row>
    <row r="8" spans="1:18">
      <c r="A8" s="5"/>
      <c r="B8">
        <v>7</v>
      </c>
      <c r="C8">
        <v>-8</v>
      </c>
      <c r="D8">
        <v>-16</v>
      </c>
      <c r="E8">
        <v>32</v>
      </c>
      <c r="F8" s="10"/>
      <c r="G8" s="8">
        <f t="shared" si="0"/>
        <v>8</v>
      </c>
      <c r="H8">
        <f>SUM($C$2:C8)</f>
        <v>-56</v>
      </c>
      <c r="I8">
        <f>SUM($D$2:D8)</f>
        <v>144</v>
      </c>
      <c r="J8">
        <f>SUM($E$2:E8)</f>
        <v>-272</v>
      </c>
      <c r="K8" s="10">
        <f>SUM($F$2:F8)</f>
        <v>0</v>
      </c>
      <c r="M8" t="s">
        <v>17</v>
      </c>
      <c r="N8" s="1">
        <f>AVERAGEIF(C10:C997,"&lt;0")</f>
        <v>-67.955056179775283</v>
      </c>
      <c r="O8" s="1">
        <f>AVERAGEIF(D10:D997,"&lt;0")</f>
        <v>-65.876543209876544</v>
      </c>
      <c r="P8" s="1">
        <f>AVERAGEIF(E10:E997,"&lt;0")</f>
        <v>-66.531645569620252</v>
      </c>
      <c r="Q8" s="1" t="e">
        <f>AVERAGEIF(#REF!,"&lt;0")</f>
        <v>#REF!</v>
      </c>
      <c r="R8" s="1">
        <f>AVERAGEIF(F10:F997,"&lt;0")</f>
        <v>-55.901234567901234</v>
      </c>
    </row>
    <row r="9" spans="1:18">
      <c r="A9" s="6"/>
      <c r="B9" s="3">
        <v>8</v>
      </c>
      <c r="C9" s="3">
        <v>-16</v>
      </c>
      <c r="D9" s="3">
        <v>64</v>
      </c>
      <c r="E9" s="3">
        <v>-32</v>
      </c>
      <c r="F9" s="11"/>
      <c r="G9" s="12">
        <f t="shared" si="0"/>
        <v>16</v>
      </c>
      <c r="H9" s="13">
        <f>SUM($C$2:C9)</f>
        <v>-72</v>
      </c>
      <c r="I9" s="13">
        <f>SUM($D$2:D9)</f>
        <v>208</v>
      </c>
      <c r="J9" s="13">
        <f>SUM($E$2:E9)</f>
        <v>-304</v>
      </c>
      <c r="K9" s="14">
        <f>SUM($F$2:F9)</f>
        <v>0</v>
      </c>
      <c r="M9" t="s">
        <v>18</v>
      </c>
      <c r="N9" s="1">
        <f>AVERAGE(C10:C1000)</f>
        <v>-23.854545454545455</v>
      </c>
      <c r="O9" s="1">
        <f>AVERAGE(D10:D1000)</f>
        <v>-1.2363636363636363</v>
      </c>
      <c r="P9" s="1">
        <f>AVERAGE(E10:E1000)</f>
        <v>4</v>
      </c>
      <c r="Q9" s="1" t="e">
        <f>AVERAGE(#REF!)</f>
        <v>#REF!</v>
      </c>
      <c r="R9" s="1">
        <f>AVERAGE(F10:F1000)</f>
        <v>21.09090909090909</v>
      </c>
    </row>
    <row r="10" spans="1:18">
      <c r="A10" s="5">
        <v>45633</v>
      </c>
      <c r="B10">
        <v>1</v>
      </c>
      <c r="C10">
        <v>-16</v>
      </c>
      <c r="D10">
        <v>64</v>
      </c>
      <c r="E10">
        <v>-16</v>
      </c>
      <c r="F10">
        <v>-32</v>
      </c>
      <c r="G10" s="8">
        <f t="shared" si="0"/>
        <v>0</v>
      </c>
      <c r="H10">
        <f>SUM($C$10:C10)</f>
        <v>-16</v>
      </c>
      <c r="I10">
        <f>SUM($D$10:D10)</f>
        <v>64</v>
      </c>
      <c r="J10">
        <f>SUM($E$10:E10)</f>
        <v>-16</v>
      </c>
      <c r="K10">
        <f>SUM($F$10:F10)</f>
        <v>-32</v>
      </c>
    </row>
    <row r="11" spans="1:18">
      <c r="A11" s="5"/>
      <c r="B11">
        <v>2</v>
      </c>
      <c r="C11">
        <v>-32</v>
      </c>
      <c r="D11">
        <v>-16</v>
      </c>
      <c r="E11">
        <v>-16</v>
      </c>
      <c r="F11">
        <v>64</v>
      </c>
      <c r="G11" s="8">
        <f t="shared" si="0"/>
        <v>0</v>
      </c>
      <c r="H11">
        <f>SUM($C$10:C11)</f>
        <v>-48</v>
      </c>
      <c r="I11">
        <f>SUM($D$10:D11)</f>
        <v>48</v>
      </c>
      <c r="J11">
        <f>SUM($E$10:E11)</f>
        <v>-32</v>
      </c>
      <c r="K11">
        <f>SUM($F$10:F11)</f>
        <v>32</v>
      </c>
    </row>
    <row r="12" spans="1:18">
      <c r="A12" s="5"/>
      <c r="B12">
        <v>3</v>
      </c>
      <c r="C12">
        <v>-16</v>
      </c>
      <c r="D12">
        <v>64</v>
      </c>
      <c r="E12">
        <v>-32</v>
      </c>
      <c r="F12">
        <v>-16</v>
      </c>
      <c r="G12" s="8">
        <f t="shared" si="0"/>
        <v>0</v>
      </c>
      <c r="H12">
        <f>SUM($C$10:C12)</f>
        <v>-64</v>
      </c>
      <c r="I12">
        <f>SUM($D$10:D12)</f>
        <v>112</v>
      </c>
      <c r="J12">
        <f>SUM($E$10:E12)</f>
        <v>-64</v>
      </c>
      <c r="K12">
        <f>SUM($F$10:F12)</f>
        <v>16</v>
      </c>
    </row>
    <row r="13" spans="1:18">
      <c r="A13" s="5"/>
      <c r="B13">
        <v>4</v>
      </c>
      <c r="C13">
        <v>-80</v>
      </c>
      <c r="D13">
        <v>-80</v>
      </c>
      <c r="E13">
        <v>320</v>
      </c>
      <c r="F13">
        <v>-160</v>
      </c>
      <c r="G13" s="8">
        <f t="shared" si="0"/>
        <v>0</v>
      </c>
      <c r="H13">
        <f>SUM($C$10:C13)</f>
        <v>-144</v>
      </c>
      <c r="I13">
        <f>SUM($D$10:D13)</f>
        <v>32</v>
      </c>
      <c r="J13">
        <f>SUM($E$10:E13)</f>
        <v>256</v>
      </c>
      <c r="K13">
        <f>SUM($F$10:F13)</f>
        <v>-144</v>
      </c>
    </row>
    <row r="14" spans="1:18">
      <c r="A14" s="5"/>
      <c r="B14">
        <v>5</v>
      </c>
      <c r="C14">
        <v>64</v>
      </c>
      <c r="D14">
        <v>-32</v>
      </c>
      <c r="E14">
        <v>-16</v>
      </c>
      <c r="F14">
        <v>-16</v>
      </c>
      <c r="G14" s="8">
        <f t="shared" si="0"/>
        <v>0</v>
      </c>
      <c r="H14">
        <f>SUM($C$10:C14)</f>
        <v>-80</v>
      </c>
      <c r="I14">
        <f>SUM($D$10:D14)</f>
        <v>0</v>
      </c>
      <c r="J14">
        <f>SUM($E$10:E14)</f>
        <v>240</v>
      </c>
      <c r="K14">
        <f>SUM($F$10:F14)</f>
        <v>-160</v>
      </c>
    </row>
    <row r="15" spans="1:18">
      <c r="A15" s="5"/>
      <c r="B15">
        <v>6</v>
      </c>
      <c r="C15">
        <v>-64</v>
      </c>
      <c r="D15">
        <v>-128</v>
      </c>
      <c r="E15">
        <v>-64</v>
      </c>
      <c r="F15">
        <v>256</v>
      </c>
      <c r="G15" s="8">
        <f t="shared" si="0"/>
        <v>0</v>
      </c>
      <c r="H15">
        <f>SUM($C$10:C15)</f>
        <v>-144</v>
      </c>
      <c r="I15">
        <f>SUM($D$10:D15)</f>
        <v>-128</v>
      </c>
      <c r="J15">
        <f>SUM($E$10:E15)</f>
        <v>176</v>
      </c>
      <c r="K15">
        <f>SUM($F$10:F15)</f>
        <v>96</v>
      </c>
    </row>
    <row r="16" spans="1:18">
      <c r="A16" s="5"/>
      <c r="B16">
        <v>7</v>
      </c>
      <c r="C16">
        <v>-64</v>
      </c>
      <c r="D16">
        <v>-64</v>
      </c>
      <c r="E16">
        <v>-128</v>
      </c>
      <c r="F16">
        <v>256</v>
      </c>
      <c r="G16" s="8">
        <f t="shared" si="0"/>
        <v>0</v>
      </c>
      <c r="H16">
        <f>SUM($C$10:C16)</f>
        <v>-208</v>
      </c>
      <c r="I16">
        <f>SUM($D$10:D16)</f>
        <v>-192</v>
      </c>
      <c r="J16">
        <f>SUM($E$10:E16)</f>
        <v>48</v>
      </c>
      <c r="K16">
        <f>SUM($F$10:F16)</f>
        <v>352</v>
      </c>
    </row>
    <row r="17" spans="1:11">
      <c r="A17" s="5"/>
      <c r="B17">
        <v>8</v>
      </c>
      <c r="C17">
        <v>-16</v>
      </c>
      <c r="D17">
        <v>64</v>
      </c>
      <c r="E17">
        <v>-16</v>
      </c>
      <c r="F17">
        <v>-32</v>
      </c>
      <c r="G17" s="8">
        <f t="shared" si="0"/>
        <v>0</v>
      </c>
      <c r="H17">
        <f>SUM($C$10:C17)</f>
        <v>-224</v>
      </c>
      <c r="I17">
        <f>SUM($D$10:D17)</f>
        <v>-128</v>
      </c>
      <c r="J17">
        <f>SUM($E$10:E17)</f>
        <v>32</v>
      </c>
      <c r="K17">
        <f>SUM($F$10:F17)</f>
        <v>320</v>
      </c>
    </row>
    <row r="18" spans="1:11">
      <c r="A18" s="6"/>
      <c r="B18" s="3">
        <v>9</v>
      </c>
      <c r="C18" s="3">
        <v>-16</v>
      </c>
      <c r="D18" s="3">
        <v>-32</v>
      </c>
      <c r="E18" s="3">
        <v>64</v>
      </c>
      <c r="F18" s="3">
        <v>-16</v>
      </c>
      <c r="G18" s="8">
        <f t="shared" si="0"/>
        <v>0</v>
      </c>
      <c r="H18">
        <f>SUM($C$10:C18)</f>
        <v>-240</v>
      </c>
      <c r="I18">
        <f>SUM($D$10:D18)</f>
        <v>-160</v>
      </c>
      <c r="J18">
        <f>SUM($E$10:E18)</f>
        <v>96</v>
      </c>
      <c r="K18">
        <f>SUM($F$10:F18)</f>
        <v>304</v>
      </c>
    </row>
    <row r="19" spans="1:11">
      <c r="A19" s="5">
        <v>45640</v>
      </c>
      <c r="B19">
        <v>1</v>
      </c>
      <c r="C19">
        <v>-8</v>
      </c>
      <c r="D19">
        <v>-16</v>
      </c>
      <c r="E19">
        <v>32</v>
      </c>
      <c r="F19">
        <v>-8</v>
      </c>
      <c r="G19" s="8">
        <f t="shared" si="0"/>
        <v>0</v>
      </c>
      <c r="H19">
        <f>SUM($C$10:C19)</f>
        <v>-248</v>
      </c>
      <c r="I19">
        <f>SUM($D$10:D19)</f>
        <v>-176</v>
      </c>
      <c r="J19">
        <f>SUM($E$10:E19)</f>
        <v>128</v>
      </c>
      <c r="K19">
        <f>SUM($F$10:F19)</f>
        <v>296</v>
      </c>
    </row>
    <row r="20" spans="1:11">
      <c r="A20" s="5"/>
      <c r="B20">
        <v>2</v>
      </c>
      <c r="C20">
        <v>-16</v>
      </c>
      <c r="D20">
        <v>-32</v>
      </c>
      <c r="E20">
        <v>64</v>
      </c>
      <c r="F20">
        <v>-16</v>
      </c>
      <c r="G20" s="8">
        <f t="shared" si="0"/>
        <v>0</v>
      </c>
      <c r="H20">
        <f>SUM($C$10:C20)</f>
        <v>-264</v>
      </c>
      <c r="I20">
        <f>SUM($D$10:D20)</f>
        <v>-208</v>
      </c>
      <c r="J20">
        <f>SUM($E$10:E20)</f>
        <v>192</v>
      </c>
      <c r="K20">
        <f>SUM($F$10:F20)</f>
        <v>280</v>
      </c>
    </row>
    <row r="21" spans="1:11">
      <c r="A21" s="5"/>
      <c r="B21">
        <v>3</v>
      </c>
      <c r="C21">
        <v>64</v>
      </c>
      <c r="D21">
        <v>-32</v>
      </c>
      <c r="E21">
        <v>-16</v>
      </c>
      <c r="F21">
        <v>-16</v>
      </c>
      <c r="G21" s="8">
        <f t="shared" si="0"/>
        <v>0</v>
      </c>
      <c r="H21">
        <f>SUM($C$10:C21)</f>
        <v>-200</v>
      </c>
      <c r="I21">
        <f>SUM($D$10:D21)</f>
        <v>-240</v>
      </c>
      <c r="J21">
        <f>SUM($E$10:E21)</f>
        <v>176</v>
      </c>
      <c r="K21">
        <f>SUM($F$10:F21)</f>
        <v>264</v>
      </c>
    </row>
    <row r="22" spans="1:11">
      <c r="A22" s="5"/>
      <c r="B22">
        <v>4</v>
      </c>
      <c r="C22">
        <v>-32</v>
      </c>
      <c r="D22">
        <v>-16</v>
      </c>
      <c r="E22">
        <v>-16</v>
      </c>
      <c r="F22">
        <v>64</v>
      </c>
      <c r="G22" s="8">
        <f t="shared" si="0"/>
        <v>0</v>
      </c>
      <c r="H22">
        <f>SUM($C$10:C22)</f>
        <v>-232</v>
      </c>
      <c r="I22">
        <f>SUM($D$10:D22)</f>
        <v>-256</v>
      </c>
      <c r="J22">
        <f>SUM($E$10:E22)</f>
        <v>160</v>
      </c>
      <c r="K22">
        <f>SUM($F$10:F22)</f>
        <v>328</v>
      </c>
    </row>
    <row r="23" spans="1:11">
      <c r="A23" s="5"/>
      <c r="B23">
        <v>5</v>
      </c>
      <c r="C23">
        <v>-64</v>
      </c>
      <c r="D23">
        <v>256</v>
      </c>
      <c r="E23">
        <v>-128</v>
      </c>
      <c r="F23">
        <v>-64</v>
      </c>
      <c r="G23" s="8">
        <f t="shared" si="0"/>
        <v>0</v>
      </c>
      <c r="H23">
        <f>SUM($C$10:C23)</f>
        <v>-296</v>
      </c>
      <c r="I23">
        <f>SUM($D$10:D23)</f>
        <v>0</v>
      </c>
      <c r="J23">
        <f>SUM($E$10:E23)</f>
        <v>32</v>
      </c>
      <c r="K23">
        <f>SUM($F$10:F23)</f>
        <v>264</v>
      </c>
    </row>
    <row r="24" spans="1:11">
      <c r="A24" s="5"/>
      <c r="B24">
        <v>6</v>
      </c>
      <c r="C24">
        <v>-8</v>
      </c>
      <c r="D24">
        <v>32</v>
      </c>
      <c r="E24">
        <v>-8</v>
      </c>
      <c r="F24">
        <v>-16</v>
      </c>
      <c r="G24" s="8">
        <f t="shared" si="0"/>
        <v>0</v>
      </c>
      <c r="H24">
        <f>SUM($C$10:C24)</f>
        <v>-304</v>
      </c>
      <c r="I24">
        <f>SUM($D$10:D24)</f>
        <v>32</v>
      </c>
      <c r="J24">
        <f>SUM($E$10:E24)</f>
        <v>24</v>
      </c>
      <c r="K24">
        <f>SUM($F$10:F24)</f>
        <v>248</v>
      </c>
    </row>
    <row r="25" spans="1:11">
      <c r="A25" s="5"/>
      <c r="B25">
        <v>7</v>
      </c>
      <c r="C25">
        <v>-320</v>
      </c>
      <c r="D25">
        <v>-320</v>
      </c>
      <c r="E25">
        <v>-320</v>
      </c>
      <c r="F25">
        <v>960</v>
      </c>
      <c r="G25" s="8">
        <f t="shared" si="0"/>
        <v>0</v>
      </c>
      <c r="H25">
        <f>SUM($C$10:C25)</f>
        <v>-624</v>
      </c>
      <c r="I25">
        <f>SUM($D$10:D25)</f>
        <v>-288</v>
      </c>
      <c r="J25">
        <f>SUM($E$10:E25)</f>
        <v>-296</v>
      </c>
      <c r="K25">
        <f>SUM($F$10:F25)</f>
        <v>1208</v>
      </c>
    </row>
    <row r="26" spans="1:11">
      <c r="A26" s="5"/>
      <c r="B26">
        <v>8</v>
      </c>
      <c r="C26">
        <v>-64</v>
      </c>
      <c r="D26">
        <v>-64</v>
      </c>
      <c r="E26">
        <v>-128</v>
      </c>
      <c r="F26">
        <v>256</v>
      </c>
      <c r="G26" s="8">
        <f t="shared" si="0"/>
        <v>0</v>
      </c>
      <c r="H26">
        <f>SUM($C$10:C26)</f>
        <v>-688</v>
      </c>
      <c r="I26">
        <f>SUM($D$10:D26)</f>
        <v>-352</v>
      </c>
      <c r="J26">
        <f>SUM($E$10:E26)</f>
        <v>-424</v>
      </c>
      <c r="K26">
        <f>SUM($F$10:F26)</f>
        <v>1464</v>
      </c>
    </row>
    <row r="27" spans="1:11">
      <c r="A27" s="5"/>
      <c r="B27">
        <v>9</v>
      </c>
      <c r="C27">
        <v>256</v>
      </c>
      <c r="D27">
        <v>-64</v>
      </c>
      <c r="E27">
        <v>-128</v>
      </c>
      <c r="F27">
        <v>-64</v>
      </c>
      <c r="G27" s="8">
        <f t="shared" si="0"/>
        <v>0</v>
      </c>
      <c r="H27">
        <f>SUM($C$10:C27)</f>
        <v>-432</v>
      </c>
      <c r="I27">
        <f>SUM($D$10:D27)</f>
        <v>-416</v>
      </c>
      <c r="J27">
        <f>SUM($E$10:E27)</f>
        <v>-552</v>
      </c>
      <c r="K27">
        <f>SUM($F$10:F27)</f>
        <v>1400</v>
      </c>
    </row>
    <row r="28" spans="1:11">
      <c r="A28" s="5"/>
      <c r="B28">
        <v>10</v>
      </c>
      <c r="C28">
        <v>-32</v>
      </c>
      <c r="D28">
        <v>-16</v>
      </c>
      <c r="E28">
        <v>64</v>
      </c>
      <c r="F28">
        <v>-16</v>
      </c>
      <c r="G28" s="8">
        <f t="shared" si="0"/>
        <v>0</v>
      </c>
      <c r="H28">
        <f>SUM($C$10:C28)</f>
        <v>-464</v>
      </c>
      <c r="I28">
        <f>SUM($D$10:D28)</f>
        <v>-432</v>
      </c>
      <c r="J28">
        <f>SUM($E$10:E28)</f>
        <v>-488</v>
      </c>
      <c r="K28">
        <f>SUM($F$10:F28)</f>
        <v>1384</v>
      </c>
    </row>
    <row r="29" spans="1:11">
      <c r="A29" s="5"/>
      <c r="B29">
        <v>11</v>
      </c>
      <c r="C29">
        <v>-64</v>
      </c>
      <c r="D29">
        <v>-64</v>
      </c>
      <c r="E29">
        <v>192</v>
      </c>
      <c r="F29">
        <v>-64</v>
      </c>
      <c r="G29" s="8">
        <f t="shared" si="0"/>
        <v>0</v>
      </c>
      <c r="H29">
        <f>SUM($C$10:C29)</f>
        <v>-528</v>
      </c>
      <c r="I29">
        <f>SUM($D$10:D29)</f>
        <v>-496</v>
      </c>
      <c r="J29">
        <f>SUM($E$10:E29)</f>
        <v>-296</v>
      </c>
      <c r="K29">
        <f>SUM($F$10:F29)</f>
        <v>1320</v>
      </c>
    </row>
    <row r="30" spans="1:11">
      <c r="A30" s="5"/>
      <c r="B30">
        <v>12</v>
      </c>
      <c r="C30">
        <v>-64</v>
      </c>
      <c r="D30">
        <v>-64</v>
      </c>
      <c r="E30">
        <v>192</v>
      </c>
      <c r="F30">
        <v>-64</v>
      </c>
      <c r="G30" s="8">
        <f t="shared" si="0"/>
        <v>0</v>
      </c>
      <c r="H30">
        <f>SUM($C$10:C30)</f>
        <v>-592</v>
      </c>
      <c r="I30">
        <f>SUM($D$10:D30)</f>
        <v>-560</v>
      </c>
      <c r="J30">
        <f>SUM($E$10:E30)</f>
        <v>-104</v>
      </c>
      <c r="K30">
        <f>SUM($F$10:F30)</f>
        <v>1256</v>
      </c>
    </row>
    <row r="31" spans="1:11">
      <c r="A31" s="5"/>
      <c r="B31">
        <v>13</v>
      </c>
      <c r="C31">
        <v>-320</v>
      </c>
      <c r="D31">
        <v>-320</v>
      </c>
      <c r="E31">
        <v>960</v>
      </c>
      <c r="F31">
        <v>-320</v>
      </c>
      <c r="G31" s="8">
        <f t="shared" si="0"/>
        <v>0</v>
      </c>
      <c r="H31">
        <f>SUM($C$10:C31)</f>
        <v>-912</v>
      </c>
      <c r="I31">
        <f>SUM($D$10:D31)</f>
        <v>-880</v>
      </c>
      <c r="J31">
        <f>SUM($E$10:E31)</f>
        <v>856</v>
      </c>
      <c r="K31">
        <f>SUM($F$10:F31)</f>
        <v>936</v>
      </c>
    </row>
    <row r="32" spans="1:11">
      <c r="A32" s="6"/>
      <c r="B32" s="3">
        <v>14</v>
      </c>
      <c r="C32" s="3">
        <v>-16</v>
      </c>
      <c r="D32" s="3">
        <v>64</v>
      </c>
      <c r="E32" s="3">
        <v>-16</v>
      </c>
      <c r="F32" s="3">
        <v>-32</v>
      </c>
      <c r="G32" s="8">
        <f t="shared" si="0"/>
        <v>0</v>
      </c>
      <c r="H32">
        <f>SUM($C$10:C32)</f>
        <v>-928</v>
      </c>
      <c r="I32">
        <f>SUM($D$10:D32)</f>
        <v>-816</v>
      </c>
      <c r="J32">
        <f>SUM($E$10:E32)</f>
        <v>840</v>
      </c>
      <c r="K32">
        <f>SUM($F$10:F32)</f>
        <v>904</v>
      </c>
    </row>
    <row r="33" spans="1:11">
      <c r="A33" s="17" t="s">
        <v>21</v>
      </c>
      <c r="B33">
        <v>1</v>
      </c>
      <c r="C33">
        <v>-32</v>
      </c>
      <c r="D33">
        <v>-64</v>
      </c>
      <c r="E33">
        <v>128</v>
      </c>
      <c r="F33">
        <v>-32</v>
      </c>
      <c r="G33" s="8">
        <f t="shared" si="0"/>
        <v>0</v>
      </c>
      <c r="H33">
        <f>SUM($C$10:C33)</f>
        <v>-960</v>
      </c>
      <c r="I33">
        <f>SUM($D$10:D33)</f>
        <v>-880</v>
      </c>
      <c r="J33">
        <f>SUM($E$10:E33)</f>
        <v>968</v>
      </c>
      <c r="K33">
        <f>SUM($F$10:F33)</f>
        <v>872</v>
      </c>
    </row>
    <row r="34" spans="1:11">
      <c r="A34" s="18"/>
      <c r="B34">
        <v>2</v>
      </c>
      <c r="C34">
        <v>-160</v>
      </c>
      <c r="D34">
        <v>-160</v>
      </c>
      <c r="E34">
        <v>-160</v>
      </c>
      <c r="F34">
        <v>480</v>
      </c>
      <c r="G34" s="8">
        <f t="shared" si="0"/>
        <v>0</v>
      </c>
      <c r="H34">
        <f>SUM($C$10:C34)</f>
        <v>-1120</v>
      </c>
      <c r="I34">
        <f>SUM($D$10:D34)</f>
        <v>-1040</v>
      </c>
      <c r="J34">
        <f>SUM($E$10:E34)</f>
        <v>808</v>
      </c>
      <c r="K34">
        <f>SUM($F$10:F34)</f>
        <v>1352</v>
      </c>
    </row>
    <row r="35" spans="1:11">
      <c r="A35" s="18"/>
      <c r="B35">
        <v>3</v>
      </c>
      <c r="C35">
        <v>-128</v>
      </c>
      <c r="D35">
        <v>-128</v>
      </c>
      <c r="E35">
        <v>-128</v>
      </c>
      <c r="F35">
        <v>384</v>
      </c>
      <c r="G35" s="8">
        <f t="shared" si="0"/>
        <v>0</v>
      </c>
      <c r="H35">
        <f>SUM($C$10:C35)</f>
        <v>-1248</v>
      </c>
      <c r="I35">
        <f>SUM($D$10:D35)</f>
        <v>-1168</v>
      </c>
      <c r="J35">
        <f>SUM($E$10:E35)</f>
        <v>680</v>
      </c>
      <c r="K35">
        <f>SUM($F$10:F35)</f>
        <v>1736</v>
      </c>
    </row>
    <row r="36" spans="1:11">
      <c r="A36" s="18"/>
      <c r="B36">
        <v>4</v>
      </c>
      <c r="C36">
        <v>-64</v>
      </c>
      <c r="D36">
        <v>256</v>
      </c>
      <c r="E36">
        <v>-128</v>
      </c>
      <c r="F36">
        <v>-64</v>
      </c>
      <c r="G36" s="8">
        <f t="shared" si="0"/>
        <v>0</v>
      </c>
      <c r="H36">
        <f>SUM($C$10:C36)</f>
        <v>-1312</v>
      </c>
      <c r="I36">
        <f>SUM($D$10:D36)</f>
        <v>-912</v>
      </c>
      <c r="J36">
        <f>SUM($E$10:E36)</f>
        <v>552</v>
      </c>
      <c r="K36">
        <f>SUM($F$10:F36)</f>
        <v>1672</v>
      </c>
    </row>
    <row r="37" spans="1:11">
      <c r="A37" s="18"/>
      <c r="B37">
        <v>5</v>
      </c>
      <c r="C37">
        <v>64</v>
      </c>
      <c r="D37">
        <v>-32</v>
      </c>
      <c r="E37">
        <v>-16</v>
      </c>
      <c r="F37">
        <v>-16</v>
      </c>
      <c r="G37" s="8">
        <f t="shared" si="0"/>
        <v>0</v>
      </c>
      <c r="H37">
        <f>SUM($C$10:C37)</f>
        <v>-1248</v>
      </c>
      <c r="I37">
        <f>SUM($D$10:D37)</f>
        <v>-944</v>
      </c>
      <c r="J37">
        <f>SUM($E$10:E37)</f>
        <v>536</v>
      </c>
      <c r="K37">
        <f>SUM($F$10:F37)</f>
        <v>1656</v>
      </c>
    </row>
    <row r="38" spans="1:11">
      <c r="A38" s="18"/>
      <c r="B38">
        <v>6</v>
      </c>
      <c r="C38">
        <v>-64</v>
      </c>
      <c r="D38">
        <v>-64</v>
      </c>
      <c r="E38">
        <v>256</v>
      </c>
      <c r="F38">
        <v>-128</v>
      </c>
      <c r="G38" s="8">
        <f t="shared" si="0"/>
        <v>0</v>
      </c>
      <c r="H38">
        <f>SUM($C$10:C38)</f>
        <v>-1312</v>
      </c>
      <c r="I38">
        <f>SUM($D$10:D38)</f>
        <v>-1008</v>
      </c>
      <c r="J38">
        <f>SUM($E$10:E38)</f>
        <v>792</v>
      </c>
      <c r="K38">
        <f>SUM($F$10:F38)</f>
        <v>1528</v>
      </c>
    </row>
    <row r="39" spans="1:11">
      <c r="A39" s="19"/>
      <c r="B39" s="9">
        <v>7</v>
      </c>
      <c r="C39" s="9">
        <v>-160</v>
      </c>
      <c r="D39" s="9">
        <v>-80</v>
      </c>
      <c r="E39" s="9">
        <v>-80</v>
      </c>
      <c r="F39" s="9">
        <v>320</v>
      </c>
      <c r="G39" s="8">
        <f t="shared" si="0"/>
        <v>0</v>
      </c>
      <c r="H39">
        <f>SUM($C$10:C39)</f>
        <v>-1472</v>
      </c>
      <c r="I39">
        <f>SUM($D$10:D39)</f>
        <v>-1088</v>
      </c>
      <c r="J39">
        <f>SUM($E$10:E39)</f>
        <v>712</v>
      </c>
      <c r="K39">
        <f>SUM($F$10:F39)</f>
        <v>1848</v>
      </c>
    </row>
    <row r="40" spans="1:11">
      <c r="A40" s="18" t="s">
        <v>21</v>
      </c>
      <c r="B40">
        <v>1</v>
      </c>
      <c r="C40">
        <v>-160</v>
      </c>
      <c r="D40">
        <v>480</v>
      </c>
      <c r="E40">
        <v>-160</v>
      </c>
      <c r="F40">
        <v>-160</v>
      </c>
      <c r="G40" s="8">
        <f t="shared" si="0"/>
        <v>0</v>
      </c>
      <c r="H40">
        <f>SUM($C$10:C40)</f>
        <v>-1632</v>
      </c>
      <c r="I40">
        <f>SUM($D$10:D40)</f>
        <v>-608</v>
      </c>
      <c r="J40">
        <f>SUM($E$10:E40)</f>
        <v>552</v>
      </c>
      <c r="K40">
        <f>SUM($F$10:F40)</f>
        <v>1688</v>
      </c>
    </row>
    <row r="41" spans="1:11">
      <c r="A41" s="18"/>
      <c r="B41">
        <v>2</v>
      </c>
      <c r="C41">
        <v>48</v>
      </c>
      <c r="D41">
        <v>-16</v>
      </c>
      <c r="E41">
        <v>-16</v>
      </c>
      <c r="F41">
        <v>-16</v>
      </c>
      <c r="G41" s="8">
        <f t="shared" si="0"/>
        <v>0</v>
      </c>
      <c r="H41">
        <f>SUM($C$10:C41)</f>
        <v>-1584</v>
      </c>
      <c r="I41">
        <f>SUM($D$10:D41)</f>
        <v>-624</v>
      </c>
      <c r="J41">
        <f>SUM($E$10:E41)</f>
        <v>536</v>
      </c>
      <c r="K41">
        <f>SUM($F$10:F41)</f>
        <v>1672</v>
      </c>
    </row>
    <row r="42" spans="1:11">
      <c r="A42" s="18"/>
      <c r="B42">
        <v>3</v>
      </c>
      <c r="C42">
        <v>-128</v>
      </c>
      <c r="D42">
        <v>-128</v>
      </c>
      <c r="E42">
        <v>-128</v>
      </c>
      <c r="F42">
        <v>384</v>
      </c>
      <c r="G42" s="8">
        <f t="shared" si="0"/>
        <v>0</v>
      </c>
      <c r="H42">
        <f>SUM($C$10:C42)</f>
        <v>-1712</v>
      </c>
      <c r="I42">
        <f>SUM($D$10:D42)</f>
        <v>-752</v>
      </c>
      <c r="J42">
        <f>SUM($E$10:E42)</f>
        <v>408</v>
      </c>
      <c r="K42">
        <f>SUM($F$10:F42)</f>
        <v>2056</v>
      </c>
    </row>
    <row r="43" spans="1:11">
      <c r="A43" s="18"/>
      <c r="B43">
        <v>4</v>
      </c>
      <c r="C43">
        <v>64</v>
      </c>
      <c r="D43">
        <v>-32</v>
      </c>
      <c r="E43">
        <v>-16</v>
      </c>
      <c r="F43">
        <v>-16</v>
      </c>
      <c r="G43" s="8">
        <f t="shared" si="0"/>
        <v>0</v>
      </c>
      <c r="H43">
        <f>SUM($C$10:C43)</f>
        <v>-1648</v>
      </c>
      <c r="I43">
        <f>SUM($D$10:D43)</f>
        <v>-784</v>
      </c>
      <c r="J43">
        <f>SUM($E$10:E43)</f>
        <v>392</v>
      </c>
      <c r="K43">
        <f>SUM($F$10:F43)</f>
        <v>2040</v>
      </c>
    </row>
    <row r="44" spans="1:11">
      <c r="A44" s="18"/>
      <c r="B44">
        <v>5</v>
      </c>
      <c r="C44">
        <v>256</v>
      </c>
      <c r="D44">
        <v>-128</v>
      </c>
      <c r="E44">
        <v>-64</v>
      </c>
      <c r="F44">
        <v>-64</v>
      </c>
      <c r="G44" s="8">
        <f t="shared" si="0"/>
        <v>0</v>
      </c>
      <c r="H44">
        <f>SUM($C$10:C44)</f>
        <v>-1392</v>
      </c>
      <c r="I44">
        <f>SUM($D$10:D44)</f>
        <v>-912</v>
      </c>
      <c r="J44">
        <f>SUM($E$10:E44)</f>
        <v>328</v>
      </c>
      <c r="K44">
        <f>SUM($F$10:F44)</f>
        <v>1976</v>
      </c>
    </row>
    <row r="45" spans="1:11">
      <c r="A45" s="19"/>
      <c r="B45" s="9">
        <v>6</v>
      </c>
      <c r="C45" s="9">
        <v>-160</v>
      </c>
      <c r="D45" s="9">
        <v>-160</v>
      </c>
      <c r="E45" s="9">
        <v>480</v>
      </c>
      <c r="F45" s="9">
        <v>-160</v>
      </c>
      <c r="G45" s="8">
        <f t="shared" si="0"/>
        <v>0</v>
      </c>
      <c r="H45">
        <f>SUM($C$10:C45)</f>
        <v>-1552</v>
      </c>
      <c r="I45">
        <f>SUM($D$10:D45)</f>
        <v>-1072</v>
      </c>
      <c r="J45">
        <f>SUM($E$10:E45)</f>
        <v>808</v>
      </c>
      <c r="K45">
        <f>SUM($F$10:F45)</f>
        <v>1816</v>
      </c>
    </row>
    <row r="46" spans="1:11">
      <c r="A46" s="18" t="s">
        <v>21</v>
      </c>
      <c r="B46">
        <v>1</v>
      </c>
      <c r="C46">
        <v>-16</v>
      </c>
      <c r="D46">
        <v>64</v>
      </c>
      <c r="E46">
        <v>-16</v>
      </c>
      <c r="F46">
        <v>-32</v>
      </c>
      <c r="G46" s="8">
        <f t="shared" si="0"/>
        <v>0</v>
      </c>
      <c r="H46">
        <f>SUM($C$10:C46)</f>
        <v>-1568</v>
      </c>
      <c r="I46">
        <f>SUM($D$10:D46)</f>
        <v>-1008</v>
      </c>
      <c r="J46">
        <f>SUM($E$10:E46)</f>
        <v>792</v>
      </c>
      <c r="K46">
        <f>SUM($F$10:F46)</f>
        <v>1784</v>
      </c>
    </row>
    <row r="47" spans="1:11">
      <c r="A47" s="18"/>
      <c r="B47">
        <v>2</v>
      </c>
      <c r="C47">
        <v>192</v>
      </c>
      <c r="D47">
        <v>-64</v>
      </c>
      <c r="E47">
        <v>-64</v>
      </c>
      <c r="F47">
        <v>-64</v>
      </c>
      <c r="G47" s="8">
        <f t="shared" si="0"/>
        <v>0</v>
      </c>
      <c r="H47">
        <f>SUM($C$10:C47)</f>
        <v>-1376</v>
      </c>
      <c r="I47">
        <f>SUM($D$10:D47)</f>
        <v>-1072</v>
      </c>
      <c r="J47">
        <f>SUM($E$10:E47)</f>
        <v>728</v>
      </c>
      <c r="K47">
        <f>SUM($F$10:F47)</f>
        <v>1720</v>
      </c>
    </row>
    <row r="48" spans="1:11">
      <c r="A48" s="18"/>
      <c r="B48">
        <v>3</v>
      </c>
      <c r="C48">
        <v>-16</v>
      </c>
      <c r="D48">
        <v>64</v>
      </c>
      <c r="E48">
        <v>-16</v>
      </c>
      <c r="F48">
        <v>-32</v>
      </c>
      <c r="G48" s="8">
        <f t="shared" si="0"/>
        <v>0</v>
      </c>
      <c r="H48">
        <f>SUM($C$10:C48)</f>
        <v>-1392</v>
      </c>
      <c r="I48">
        <f>SUM($D$10:D48)</f>
        <v>-1008</v>
      </c>
      <c r="J48">
        <f>SUM($E$10:E48)</f>
        <v>712</v>
      </c>
      <c r="K48">
        <f>SUM($F$10:F48)</f>
        <v>1688</v>
      </c>
    </row>
    <row r="49" spans="1:11">
      <c r="A49" s="18"/>
      <c r="B49">
        <v>4</v>
      </c>
      <c r="C49">
        <v>-128</v>
      </c>
      <c r="D49">
        <v>-128</v>
      </c>
      <c r="E49">
        <v>-128</v>
      </c>
      <c r="F49">
        <v>384</v>
      </c>
      <c r="G49" s="8">
        <f t="shared" si="0"/>
        <v>0</v>
      </c>
      <c r="H49">
        <f>SUM($C$10:C49)</f>
        <v>-1520</v>
      </c>
      <c r="I49">
        <f>SUM($D$10:D49)</f>
        <v>-1136</v>
      </c>
      <c r="J49">
        <f>SUM($E$10:E49)</f>
        <v>584</v>
      </c>
      <c r="K49">
        <f>SUM($F$10:F49)</f>
        <v>2072</v>
      </c>
    </row>
    <row r="50" spans="1:11">
      <c r="A50" s="18"/>
      <c r="B50">
        <v>5</v>
      </c>
      <c r="C50">
        <v>-16</v>
      </c>
      <c r="D50">
        <v>64</v>
      </c>
      <c r="E50">
        <v>-32</v>
      </c>
      <c r="F50">
        <v>-16</v>
      </c>
      <c r="G50" s="8">
        <f t="shared" si="0"/>
        <v>0</v>
      </c>
      <c r="H50">
        <f>SUM($C$10:C50)</f>
        <v>-1536</v>
      </c>
      <c r="I50">
        <f>SUM($D$10:D50)</f>
        <v>-1072</v>
      </c>
      <c r="J50">
        <f>SUM($E$10:E50)</f>
        <v>552</v>
      </c>
      <c r="K50">
        <f>SUM($F$10:F50)</f>
        <v>2056</v>
      </c>
    </row>
    <row r="51" spans="1:11">
      <c r="A51" s="18"/>
      <c r="B51">
        <v>6</v>
      </c>
      <c r="C51">
        <v>64</v>
      </c>
      <c r="D51">
        <v>-32</v>
      </c>
      <c r="E51">
        <v>-16</v>
      </c>
      <c r="F51">
        <v>-16</v>
      </c>
      <c r="G51" s="8">
        <f t="shared" si="0"/>
        <v>0</v>
      </c>
      <c r="H51">
        <f>SUM($C$10:C51)</f>
        <v>-1472</v>
      </c>
      <c r="I51">
        <f>SUM($D$10:D51)</f>
        <v>-1104</v>
      </c>
      <c r="J51">
        <f>SUM($E$10:E51)</f>
        <v>536</v>
      </c>
      <c r="K51">
        <f>SUM($F$10:F51)</f>
        <v>2040</v>
      </c>
    </row>
    <row r="52" spans="1:11">
      <c r="A52" s="18"/>
      <c r="B52">
        <v>7</v>
      </c>
      <c r="C52">
        <v>-32</v>
      </c>
      <c r="D52">
        <v>-32</v>
      </c>
      <c r="E52">
        <v>-32</v>
      </c>
      <c r="F52">
        <v>96</v>
      </c>
      <c r="G52" s="8">
        <f t="shared" si="0"/>
        <v>0</v>
      </c>
      <c r="H52">
        <f>SUM($C$10:C52)</f>
        <v>-1504</v>
      </c>
      <c r="I52">
        <f>SUM($D$10:D52)</f>
        <v>-1136</v>
      </c>
      <c r="J52">
        <f>SUM($E$10:E52)</f>
        <v>504</v>
      </c>
      <c r="K52">
        <f>SUM($F$10:F52)</f>
        <v>2136</v>
      </c>
    </row>
    <row r="53" spans="1:11">
      <c r="A53" s="18"/>
      <c r="B53">
        <v>8</v>
      </c>
      <c r="C53">
        <v>64</v>
      </c>
      <c r="D53">
        <v>-16</v>
      </c>
      <c r="E53">
        <v>-32</v>
      </c>
      <c r="F53">
        <v>-16</v>
      </c>
      <c r="G53" s="8">
        <f t="shared" si="0"/>
        <v>0</v>
      </c>
      <c r="H53">
        <f>SUM($C$10:C53)</f>
        <v>-1440</v>
      </c>
      <c r="I53">
        <f>SUM($D$10:D53)</f>
        <v>-1152</v>
      </c>
      <c r="J53">
        <f>SUM($E$10:E53)</f>
        <v>472</v>
      </c>
      <c r="K53">
        <f>SUM($F$10:F53)</f>
        <v>2120</v>
      </c>
    </row>
    <row r="54" spans="1:11">
      <c r="A54" s="19"/>
      <c r="B54" s="9">
        <v>9</v>
      </c>
      <c r="C54" s="9">
        <v>-8</v>
      </c>
      <c r="D54" s="9">
        <v>-8</v>
      </c>
      <c r="E54" s="9">
        <v>32</v>
      </c>
      <c r="F54" s="9">
        <v>-16</v>
      </c>
      <c r="G54" s="8">
        <f t="shared" si="0"/>
        <v>0</v>
      </c>
      <c r="H54">
        <f>SUM($C$10:C54)</f>
        <v>-1448</v>
      </c>
      <c r="I54">
        <f>SUM($D$10:D54)</f>
        <v>-1160</v>
      </c>
      <c r="J54">
        <f>SUM($E$10:E54)</f>
        <v>504</v>
      </c>
      <c r="K54">
        <f>SUM($F$10:F54)</f>
        <v>2104</v>
      </c>
    </row>
    <row r="55" spans="1:11">
      <c r="A55" s="20">
        <v>45674</v>
      </c>
      <c r="B55">
        <v>1</v>
      </c>
      <c r="C55">
        <v>-128</v>
      </c>
      <c r="D55">
        <v>256</v>
      </c>
      <c r="E55">
        <v>-64</v>
      </c>
      <c r="F55">
        <v>-64</v>
      </c>
      <c r="G55" s="8">
        <f>SUM(C55:F55)</f>
        <v>0</v>
      </c>
    </row>
    <row r="56" spans="1:11">
      <c r="A56" s="20"/>
      <c r="B56">
        <v>2</v>
      </c>
      <c r="C56">
        <v>256</v>
      </c>
      <c r="D56">
        <v>-64</v>
      </c>
      <c r="E56">
        <v>-128</v>
      </c>
      <c r="F56">
        <v>-64</v>
      </c>
      <c r="G56" s="8">
        <f>SUM(C56:F56)</f>
        <v>0</v>
      </c>
    </row>
    <row r="57" spans="1:11">
      <c r="A57" s="20"/>
      <c r="B57">
        <v>3</v>
      </c>
      <c r="C57">
        <v>-64</v>
      </c>
      <c r="D57">
        <v>-64</v>
      </c>
      <c r="E57">
        <v>-128</v>
      </c>
      <c r="F57">
        <v>256</v>
      </c>
      <c r="G57" s="8">
        <f>SUM(C57:F57)</f>
        <v>0</v>
      </c>
    </row>
    <row r="58" spans="1:11">
      <c r="A58" s="20"/>
      <c r="B58">
        <v>4</v>
      </c>
      <c r="C58">
        <v>-128</v>
      </c>
      <c r="D58">
        <v>-128</v>
      </c>
      <c r="E58">
        <v>-128</v>
      </c>
      <c r="F58">
        <v>384</v>
      </c>
      <c r="G58" s="8">
        <f>SUM(C58:F58)</f>
        <v>0</v>
      </c>
    </row>
    <row r="59" spans="1:11">
      <c r="A59" s="20"/>
      <c r="B59">
        <v>5</v>
      </c>
      <c r="C59">
        <v>-32</v>
      </c>
      <c r="D59">
        <v>-64</v>
      </c>
      <c r="E59">
        <v>128</v>
      </c>
      <c r="F59">
        <v>-32</v>
      </c>
      <c r="G59" s="8">
        <f>SUM(C59:F59)</f>
        <v>0</v>
      </c>
    </row>
    <row r="60" spans="1:11">
      <c r="A60" s="20"/>
      <c r="B60">
        <v>6</v>
      </c>
      <c r="C60">
        <v>-16</v>
      </c>
      <c r="D60">
        <v>-8</v>
      </c>
      <c r="E60">
        <v>32</v>
      </c>
      <c r="F60">
        <v>-8</v>
      </c>
      <c r="G60" s="8">
        <f>SUM(C60:F60)</f>
        <v>0</v>
      </c>
    </row>
    <row r="61" spans="1:11">
      <c r="A61" s="20"/>
      <c r="B61">
        <v>7</v>
      </c>
      <c r="C61">
        <v>-320</v>
      </c>
      <c r="D61">
        <v>960</v>
      </c>
      <c r="E61">
        <v>-320</v>
      </c>
      <c r="F61">
        <v>-320</v>
      </c>
      <c r="G61" s="8">
        <f>SUM(C61:F61)</f>
        <v>0</v>
      </c>
    </row>
    <row r="62" spans="1:11">
      <c r="A62" s="20"/>
      <c r="B62">
        <v>8</v>
      </c>
      <c r="C62">
        <v>-16</v>
      </c>
      <c r="D62">
        <v>64</v>
      </c>
      <c r="E62">
        <v>-16</v>
      </c>
      <c r="F62">
        <v>-32</v>
      </c>
      <c r="G62" s="8">
        <f>SUM(C62:F62)</f>
        <v>0</v>
      </c>
    </row>
    <row r="63" spans="1:11">
      <c r="A63" s="20"/>
      <c r="B63">
        <v>9</v>
      </c>
      <c r="C63">
        <v>-128</v>
      </c>
      <c r="D63">
        <v>256</v>
      </c>
      <c r="E63">
        <v>-64</v>
      </c>
      <c r="F63">
        <v>-64</v>
      </c>
      <c r="G63" s="8">
        <f>SUM(C63:F63)</f>
        <v>0</v>
      </c>
    </row>
    <row r="64" spans="1:11">
      <c r="A64" s="20"/>
      <c r="B64">
        <v>10</v>
      </c>
      <c r="C64">
        <v>-128</v>
      </c>
      <c r="D64">
        <v>384</v>
      </c>
      <c r="E64">
        <v>-128</v>
      </c>
      <c r="F64">
        <v>-128</v>
      </c>
      <c r="G64" s="8">
        <f>SUM(C64:F64)</f>
        <v>0</v>
      </c>
    </row>
    <row r="65" spans="1:11">
      <c r="A65" s="21"/>
      <c r="B65" s="9">
        <v>11</v>
      </c>
      <c r="C65" s="9">
        <v>-32</v>
      </c>
      <c r="D65" s="9">
        <v>-16</v>
      </c>
      <c r="E65" s="9">
        <v>64</v>
      </c>
      <c r="F65" s="9">
        <v>-16</v>
      </c>
      <c r="G65" s="8">
        <f>SUM(C65:F65)</f>
        <v>0</v>
      </c>
    </row>
    <row r="66" spans="1:11">
      <c r="A66" s="20">
        <v>45688</v>
      </c>
      <c r="B66">
        <v>1</v>
      </c>
      <c r="C66">
        <v>-8</v>
      </c>
      <c r="D66">
        <v>-8</v>
      </c>
      <c r="E66">
        <v>32</v>
      </c>
      <c r="F66">
        <v>-16</v>
      </c>
      <c r="G66" s="8">
        <f t="shared" si="0"/>
        <v>0</v>
      </c>
      <c r="H66">
        <f>SUM($C$10:C66)</f>
        <v>-2192</v>
      </c>
      <c r="I66">
        <f>SUM($D$10:D66)</f>
        <v>408</v>
      </c>
      <c r="J66">
        <f>SUM($E$10:E66)</f>
        <v>-216</v>
      </c>
      <c r="K66">
        <f>SUM($F$10:F66)</f>
        <v>2000</v>
      </c>
    </row>
    <row r="67" spans="1:11">
      <c r="A67" s="18"/>
      <c r="B67">
        <v>2</v>
      </c>
      <c r="C67">
        <v>-64</v>
      </c>
      <c r="D67">
        <v>-128</v>
      </c>
      <c r="E67">
        <v>-64</v>
      </c>
      <c r="F67">
        <v>256</v>
      </c>
      <c r="G67" s="8">
        <f t="shared" si="0"/>
        <v>0</v>
      </c>
      <c r="H67">
        <f>SUM($C$10:C67)</f>
        <v>-2256</v>
      </c>
      <c r="I67">
        <f>SUM($D$10:D67)</f>
        <v>280</v>
      </c>
      <c r="J67">
        <f>SUM($E$10:E67)</f>
        <v>-280</v>
      </c>
      <c r="K67">
        <f>SUM($F$10:F67)</f>
        <v>2256</v>
      </c>
    </row>
    <row r="68" spans="1:11">
      <c r="A68" s="18"/>
      <c r="B68">
        <v>3</v>
      </c>
      <c r="C68">
        <v>-16</v>
      </c>
      <c r="D68">
        <v>-16</v>
      </c>
      <c r="E68">
        <v>-32</v>
      </c>
      <c r="F68">
        <v>64</v>
      </c>
      <c r="G68" s="8">
        <f t="shared" si="0"/>
        <v>0</v>
      </c>
      <c r="H68">
        <f>SUM($C$10:C68)</f>
        <v>-2272</v>
      </c>
      <c r="I68">
        <f>SUM($D$10:D68)</f>
        <v>264</v>
      </c>
      <c r="J68">
        <f>SUM($E$10:E68)</f>
        <v>-312</v>
      </c>
      <c r="K68">
        <f>SUM($F$10:F68)</f>
        <v>2320</v>
      </c>
    </row>
    <row r="69" spans="1:11">
      <c r="A69" s="18"/>
      <c r="B69">
        <v>4</v>
      </c>
      <c r="C69">
        <v>-128</v>
      </c>
      <c r="D69">
        <v>256</v>
      </c>
      <c r="E69">
        <v>-64</v>
      </c>
      <c r="F69">
        <v>-64</v>
      </c>
      <c r="G69" s="8">
        <f t="shared" ref="G69:G130" si="2">SUM(C69:F69)</f>
        <v>0</v>
      </c>
      <c r="H69">
        <f>SUM($C$10:C69)</f>
        <v>-2400</v>
      </c>
      <c r="I69">
        <f>SUM($D$10:D69)</f>
        <v>520</v>
      </c>
      <c r="J69">
        <f>SUM($E$10:E69)</f>
        <v>-376</v>
      </c>
      <c r="K69">
        <f>SUM($F$10:F69)</f>
        <v>2256</v>
      </c>
    </row>
    <row r="70" spans="1:11">
      <c r="A70" s="18"/>
      <c r="B70">
        <v>5</v>
      </c>
      <c r="C70">
        <v>-128</v>
      </c>
      <c r="D70">
        <v>-64</v>
      </c>
      <c r="E70">
        <v>-64</v>
      </c>
      <c r="F70">
        <v>256</v>
      </c>
      <c r="G70" s="8">
        <f t="shared" si="2"/>
        <v>0</v>
      </c>
      <c r="H70">
        <f>SUM($C$10:C70)</f>
        <v>-2528</v>
      </c>
      <c r="I70">
        <f>SUM($D$10:D70)</f>
        <v>456</v>
      </c>
      <c r="J70">
        <f>SUM($E$10:E70)</f>
        <v>-440</v>
      </c>
      <c r="K70">
        <f>SUM($F$10:F70)</f>
        <v>2512</v>
      </c>
    </row>
    <row r="71" spans="1:11">
      <c r="A71" s="18"/>
      <c r="B71">
        <v>6</v>
      </c>
      <c r="C71">
        <v>-16</v>
      </c>
      <c r="D71">
        <v>-8</v>
      </c>
      <c r="E71">
        <v>-8</v>
      </c>
      <c r="F71">
        <v>32</v>
      </c>
      <c r="G71" s="8">
        <f t="shared" si="2"/>
        <v>0</v>
      </c>
      <c r="H71">
        <f>SUM($C$10:C71)</f>
        <v>-2544</v>
      </c>
      <c r="I71">
        <f>SUM($D$10:D71)</f>
        <v>448</v>
      </c>
      <c r="J71">
        <f>SUM($E$10:E71)</f>
        <v>-448</v>
      </c>
      <c r="K71">
        <f>SUM($F$10:F71)</f>
        <v>2544</v>
      </c>
    </row>
    <row r="72" spans="1:11">
      <c r="A72" s="18"/>
      <c r="B72">
        <v>7</v>
      </c>
      <c r="C72">
        <v>96</v>
      </c>
      <c r="D72">
        <v>-32</v>
      </c>
      <c r="E72">
        <v>-32</v>
      </c>
      <c r="F72">
        <v>-32</v>
      </c>
      <c r="G72" s="8">
        <f t="shared" si="2"/>
        <v>0</v>
      </c>
      <c r="H72">
        <f>SUM($C$10:C72)</f>
        <v>-2448</v>
      </c>
      <c r="I72">
        <f>SUM($D$10:D72)</f>
        <v>416</v>
      </c>
      <c r="J72">
        <f>SUM($E$10:E72)</f>
        <v>-480</v>
      </c>
      <c r="K72">
        <f>SUM($F$10:F72)</f>
        <v>2512</v>
      </c>
    </row>
    <row r="73" spans="1:11">
      <c r="A73" s="18"/>
      <c r="B73">
        <v>8</v>
      </c>
      <c r="C73">
        <v>-32</v>
      </c>
      <c r="D73">
        <v>-32</v>
      </c>
      <c r="E73">
        <v>-32</v>
      </c>
      <c r="F73">
        <v>96</v>
      </c>
      <c r="G73" s="8">
        <f t="shared" si="2"/>
        <v>0</v>
      </c>
      <c r="H73">
        <f>SUM($C$10:C73)</f>
        <v>-2480</v>
      </c>
      <c r="I73">
        <f>SUM($D$10:D73)</f>
        <v>384</v>
      </c>
      <c r="J73">
        <f>SUM($E$10:E73)</f>
        <v>-512</v>
      </c>
      <c r="K73">
        <f>SUM($F$10:F73)</f>
        <v>2608</v>
      </c>
    </row>
    <row r="74" spans="1:11">
      <c r="A74" s="18"/>
      <c r="B74">
        <v>9</v>
      </c>
      <c r="C74">
        <v>-32</v>
      </c>
      <c r="D74">
        <v>-32</v>
      </c>
      <c r="E74">
        <v>96</v>
      </c>
      <c r="F74">
        <v>-32</v>
      </c>
      <c r="G74" s="8">
        <f t="shared" si="2"/>
        <v>0</v>
      </c>
      <c r="H74">
        <f>SUM($C$10:C74)</f>
        <v>-2512</v>
      </c>
      <c r="I74">
        <f>SUM($D$10:D74)</f>
        <v>352</v>
      </c>
      <c r="J74">
        <f>SUM($E$10:E74)</f>
        <v>-416</v>
      </c>
      <c r="K74">
        <f>SUM($F$10:F74)</f>
        <v>2576</v>
      </c>
    </row>
    <row r="75" spans="1:11">
      <c r="A75" s="18"/>
      <c r="B75">
        <v>10</v>
      </c>
      <c r="C75">
        <v>-80</v>
      </c>
      <c r="D75">
        <v>320</v>
      </c>
      <c r="E75">
        <v>-160</v>
      </c>
      <c r="F75">
        <v>-80</v>
      </c>
      <c r="G75" s="8">
        <f t="shared" si="2"/>
        <v>0</v>
      </c>
      <c r="H75">
        <f>SUM($C$10:C75)</f>
        <v>-2592</v>
      </c>
      <c r="I75">
        <f>SUM($D$10:D75)</f>
        <v>672</v>
      </c>
      <c r="J75">
        <f>SUM($E$10:E75)</f>
        <v>-576</v>
      </c>
      <c r="K75">
        <f>SUM($F$10:F75)</f>
        <v>2496</v>
      </c>
    </row>
    <row r="76" spans="1:11">
      <c r="A76" s="19"/>
      <c r="B76" s="9">
        <v>11</v>
      </c>
      <c r="C76" s="9">
        <v>-16</v>
      </c>
      <c r="D76" s="9">
        <v>-16</v>
      </c>
      <c r="E76" s="9">
        <v>-32</v>
      </c>
      <c r="F76" s="9">
        <v>64</v>
      </c>
      <c r="G76" s="8">
        <f t="shared" si="2"/>
        <v>0</v>
      </c>
      <c r="H76">
        <f>SUM($C$10:C76)</f>
        <v>-2608</v>
      </c>
      <c r="I76">
        <f>SUM($D$10:D76)</f>
        <v>656</v>
      </c>
      <c r="J76">
        <f>SUM($E$10:E76)</f>
        <v>-608</v>
      </c>
      <c r="K76">
        <f>SUM($F$10:F76)</f>
        <v>2560</v>
      </c>
    </row>
    <row r="77" spans="1:11">
      <c r="A77" s="18" t="s">
        <v>21</v>
      </c>
      <c r="B77">
        <v>1</v>
      </c>
      <c r="C77">
        <v>-16</v>
      </c>
      <c r="D77">
        <v>64</v>
      </c>
      <c r="E77">
        <v>-32</v>
      </c>
      <c r="F77">
        <v>-16</v>
      </c>
      <c r="G77" s="8">
        <f>SUM(C77:F77)</f>
        <v>0</v>
      </c>
    </row>
    <row r="78" spans="1:11">
      <c r="A78" s="18" t="s">
        <v>22</v>
      </c>
      <c r="B78">
        <v>2</v>
      </c>
      <c r="C78">
        <v>-32</v>
      </c>
      <c r="D78">
        <v>-32</v>
      </c>
      <c r="E78">
        <v>128</v>
      </c>
      <c r="F78">
        <v>-64</v>
      </c>
      <c r="G78" s="8">
        <f>SUM(C78:F78)</f>
        <v>0</v>
      </c>
    </row>
    <row r="79" spans="1:11">
      <c r="A79" s="18"/>
      <c r="B79">
        <v>3</v>
      </c>
      <c r="C79">
        <v>-64</v>
      </c>
      <c r="D79">
        <v>256</v>
      </c>
      <c r="E79">
        <v>-128</v>
      </c>
      <c r="F79">
        <v>-64</v>
      </c>
      <c r="G79" s="8">
        <f>SUM(C79:F79)</f>
        <v>0</v>
      </c>
    </row>
    <row r="80" spans="1:11">
      <c r="A80" s="18"/>
      <c r="B80">
        <v>4</v>
      </c>
      <c r="C80">
        <v>640</v>
      </c>
      <c r="D80">
        <v>-320</v>
      </c>
      <c r="E80">
        <v>-160</v>
      </c>
      <c r="F80">
        <v>-160</v>
      </c>
      <c r="G80" s="8">
        <f>SUM(C80:F80)</f>
        <v>0</v>
      </c>
    </row>
    <row r="81" spans="1:11">
      <c r="A81" s="18"/>
      <c r="B81">
        <v>5</v>
      </c>
      <c r="C81">
        <v>-32</v>
      </c>
      <c r="D81">
        <v>-32</v>
      </c>
      <c r="E81">
        <v>96</v>
      </c>
      <c r="F81">
        <v>-32</v>
      </c>
      <c r="G81" s="8">
        <f>SUM(C81:F81)</f>
        <v>0</v>
      </c>
    </row>
    <row r="82" spans="1:11">
      <c r="A82" s="18"/>
      <c r="B82">
        <v>6</v>
      </c>
      <c r="C82">
        <v>-16</v>
      </c>
      <c r="D82">
        <v>48</v>
      </c>
      <c r="E82">
        <v>-16</v>
      </c>
      <c r="F82">
        <v>-16</v>
      </c>
      <c r="G82" s="8">
        <f>SUM(C82:F82)</f>
        <v>0</v>
      </c>
    </row>
    <row r="83" spans="1:11">
      <c r="A83" s="18"/>
      <c r="B83">
        <v>7</v>
      </c>
      <c r="C83">
        <v>128</v>
      </c>
      <c r="D83">
        <v>-32</v>
      </c>
      <c r="E83">
        <v>-32</v>
      </c>
      <c r="F83">
        <v>-64</v>
      </c>
      <c r="G83" s="8">
        <f>SUM(C83:F83)</f>
        <v>0</v>
      </c>
    </row>
    <row r="84" spans="1:11">
      <c r="A84" s="18"/>
      <c r="B84">
        <v>8</v>
      </c>
      <c r="C84">
        <v>-8</v>
      </c>
      <c r="D84">
        <v>-8</v>
      </c>
      <c r="E84">
        <v>-16</v>
      </c>
      <c r="F84">
        <v>32</v>
      </c>
      <c r="G84" s="8">
        <f>SUM(C84:F84)</f>
        <v>0</v>
      </c>
    </row>
    <row r="85" spans="1:11">
      <c r="A85" s="19"/>
      <c r="B85" s="9">
        <v>9</v>
      </c>
      <c r="C85" s="9">
        <v>320</v>
      </c>
      <c r="D85" s="9">
        <v>-80</v>
      </c>
      <c r="E85" s="9">
        <v>-160</v>
      </c>
      <c r="F85" s="9">
        <v>-80</v>
      </c>
      <c r="G85" s="8">
        <f>SUM(C85:F85)</f>
        <v>0</v>
      </c>
    </row>
    <row r="86" spans="1:11">
      <c r="A86" s="22" t="s">
        <v>21</v>
      </c>
      <c r="B86">
        <v>1</v>
      </c>
      <c r="C86">
        <v>-128</v>
      </c>
      <c r="D86">
        <v>-64</v>
      </c>
      <c r="E86">
        <v>256</v>
      </c>
      <c r="F86">
        <v>-64</v>
      </c>
      <c r="G86" s="8">
        <f t="shared" si="2"/>
        <v>0</v>
      </c>
      <c r="H86">
        <f>SUM($C$10:C86)</f>
        <v>-1816</v>
      </c>
      <c r="I86">
        <f>SUM($D$10:D86)</f>
        <v>456</v>
      </c>
      <c r="J86">
        <f>SUM($E$10:E86)</f>
        <v>-672</v>
      </c>
      <c r="K86">
        <f>SUM($F$10:F86)</f>
        <v>2032</v>
      </c>
    </row>
    <row r="87" spans="1:11">
      <c r="A87" s="18" t="s">
        <v>23</v>
      </c>
      <c r="B87">
        <v>2</v>
      </c>
      <c r="C87">
        <v>-16</v>
      </c>
      <c r="D87">
        <v>64</v>
      </c>
      <c r="E87">
        <v>-32</v>
      </c>
      <c r="F87">
        <v>-16</v>
      </c>
      <c r="G87" s="8">
        <f t="shared" si="2"/>
        <v>0</v>
      </c>
      <c r="H87">
        <f>SUM($C$10:C87)</f>
        <v>-1832</v>
      </c>
      <c r="I87">
        <f>SUM($D$10:D87)</f>
        <v>520</v>
      </c>
      <c r="J87">
        <f>SUM($E$10:E87)</f>
        <v>-704</v>
      </c>
      <c r="K87">
        <f>SUM($F$10:F87)</f>
        <v>2016</v>
      </c>
    </row>
    <row r="88" spans="1:11">
      <c r="A88" s="18"/>
      <c r="B88">
        <v>3</v>
      </c>
      <c r="C88">
        <v>-128</v>
      </c>
      <c r="D88">
        <v>-128</v>
      </c>
      <c r="E88">
        <v>384</v>
      </c>
      <c r="F88">
        <v>-128</v>
      </c>
      <c r="G88" s="8">
        <f t="shared" si="2"/>
        <v>0</v>
      </c>
      <c r="H88">
        <f>SUM($C$10:C88)</f>
        <v>-1960</v>
      </c>
      <c r="I88">
        <f>SUM($D$10:D88)</f>
        <v>392</v>
      </c>
      <c r="J88">
        <f>SUM($E$10:E88)</f>
        <v>-320</v>
      </c>
      <c r="K88">
        <f>SUM($F$10:F88)</f>
        <v>1888</v>
      </c>
    </row>
    <row r="89" spans="1:11">
      <c r="A89" s="18"/>
      <c r="B89">
        <v>4</v>
      </c>
      <c r="C89">
        <v>-64</v>
      </c>
      <c r="D89">
        <v>-64</v>
      </c>
      <c r="E89">
        <v>192</v>
      </c>
      <c r="F89">
        <v>-64</v>
      </c>
      <c r="G89" s="8">
        <f t="shared" si="2"/>
        <v>0</v>
      </c>
      <c r="H89">
        <f>SUM($C$10:C89)</f>
        <v>-2024</v>
      </c>
      <c r="I89">
        <f>SUM($D$10:D89)</f>
        <v>328</v>
      </c>
      <c r="J89">
        <f>SUM($E$10:E89)</f>
        <v>-128</v>
      </c>
      <c r="K89">
        <f>SUM($F$10:F89)</f>
        <v>1824</v>
      </c>
    </row>
    <row r="90" spans="1:11">
      <c r="A90" s="18"/>
      <c r="B90">
        <v>5</v>
      </c>
      <c r="C90">
        <v>-64</v>
      </c>
      <c r="D90">
        <v>128</v>
      </c>
      <c r="E90">
        <v>-32</v>
      </c>
      <c r="F90">
        <v>-32</v>
      </c>
      <c r="G90" s="8">
        <f t="shared" si="2"/>
        <v>0</v>
      </c>
      <c r="H90">
        <f>SUM($C$10:C90)</f>
        <v>-2088</v>
      </c>
      <c r="I90">
        <f>SUM($D$10:D90)</f>
        <v>456</v>
      </c>
      <c r="J90">
        <f>SUM($E$10:E90)</f>
        <v>-160</v>
      </c>
      <c r="K90">
        <f>SUM($F$10:F90)</f>
        <v>1792</v>
      </c>
    </row>
    <row r="91" spans="1:11">
      <c r="A91" s="18"/>
      <c r="B91">
        <v>6</v>
      </c>
      <c r="C91">
        <v>-32</v>
      </c>
      <c r="D91">
        <v>-32</v>
      </c>
      <c r="E91">
        <v>128</v>
      </c>
      <c r="F91">
        <v>-64</v>
      </c>
      <c r="G91" s="8">
        <f t="shared" si="2"/>
        <v>0</v>
      </c>
      <c r="H91">
        <f>SUM($C$10:C91)</f>
        <v>-2120</v>
      </c>
      <c r="I91">
        <f>SUM($D$10:D91)</f>
        <v>424</v>
      </c>
      <c r="J91">
        <f>SUM($E$10:E91)</f>
        <v>-32</v>
      </c>
      <c r="K91">
        <f>SUM($F$10:F91)</f>
        <v>1728</v>
      </c>
    </row>
    <row r="92" spans="1:11">
      <c r="A92" s="18"/>
      <c r="B92">
        <v>7</v>
      </c>
      <c r="C92">
        <v>64</v>
      </c>
      <c r="D92">
        <v>-32</v>
      </c>
      <c r="E92">
        <v>-16</v>
      </c>
      <c r="F92">
        <v>-16</v>
      </c>
      <c r="G92" s="8">
        <f t="shared" si="2"/>
        <v>0</v>
      </c>
      <c r="H92">
        <f>SUM($C$10:C92)</f>
        <v>-2056</v>
      </c>
      <c r="I92">
        <f>SUM($D$10:D92)</f>
        <v>392</v>
      </c>
      <c r="J92">
        <f>SUM($E$10:E92)</f>
        <v>-48</v>
      </c>
      <c r="K92">
        <f>SUM($F$10:F92)</f>
        <v>1712</v>
      </c>
    </row>
    <row r="93" spans="1:11">
      <c r="A93" s="18"/>
      <c r="B93">
        <v>8</v>
      </c>
      <c r="C93">
        <v>-32</v>
      </c>
      <c r="D93">
        <v>-32</v>
      </c>
      <c r="E93">
        <v>-32</v>
      </c>
      <c r="F93">
        <v>96</v>
      </c>
      <c r="G93" s="8">
        <f t="shared" si="2"/>
        <v>0</v>
      </c>
      <c r="H93">
        <f>SUM($C$10:C93)</f>
        <v>-2088</v>
      </c>
      <c r="I93">
        <f>SUM($D$10:D93)</f>
        <v>360</v>
      </c>
      <c r="J93">
        <f>SUM($E$10:E93)</f>
        <v>-80</v>
      </c>
      <c r="K93">
        <f>SUM($F$10:F93)</f>
        <v>1808</v>
      </c>
    </row>
    <row r="94" spans="1:11">
      <c r="A94" s="18"/>
      <c r="B94">
        <v>9</v>
      </c>
      <c r="C94">
        <v>-64</v>
      </c>
      <c r="D94">
        <v>-128</v>
      </c>
      <c r="E94">
        <v>256</v>
      </c>
      <c r="F94">
        <v>-64</v>
      </c>
      <c r="G94" s="8">
        <f t="shared" si="2"/>
        <v>0</v>
      </c>
      <c r="H94">
        <f>SUM($C$10:C94)</f>
        <v>-2152</v>
      </c>
      <c r="I94">
        <f>SUM($D$10:D94)</f>
        <v>232</v>
      </c>
      <c r="J94">
        <f>SUM($E$10:E94)</f>
        <v>176</v>
      </c>
      <c r="K94">
        <f>SUM($F$10:F94)</f>
        <v>1744</v>
      </c>
    </row>
    <row r="95" spans="1:11">
      <c r="A95" s="19"/>
      <c r="B95" s="9">
        <v>10</v>
      </c>
      <c r="C95" s="9">
        <v>320</v>
      </c>
      <c r="D95" s="9">
        <v>-80</v>
      </c>
      <c r="E95" s="9">
        <v>-160</v>
      </c>
      <c r="F95" s="9">
        <v>-80</v>
      </c>
      <c r="G95" s="8">
        <f t="shared" si="2"/>
        <v>0</v>
      </c>
      <c r="H95">
        <f>SUM($C$10:C95)</f>
        <v>-1832</v>
      </c>
      <c r="I95">
        <f>SUM($D$10:D95)</f>
        <v>152</v>
      </c>
      <c r="J95">
        <f>SUM($E$10:E95)</f>
        <v>16</v>
      </c>
      <c r="K95">
        <f>SUM($F$10:F95)</f>
        <v>1664</v>
      </c>
    </row>
    <row r="96" spans="1:11">
      <c r="A96" s="23">
        <v>45821</v>
      </c>
      <c r="B96">
        <v>1</v>
      </c>
      <c r="C96">
        <v>-160</v>
      </c>
      <c r="D96">
        <v>-80</v>
      </c>
      <c r="E96">
        <v>-80</v>
      </c>
      <c r="F96">
        <v>320</v>
      </c>
      <c r="G96" s="8">
        <f t="shared" si="2"/>
        <v>0</v>
      </c>
      <c r="H96">
        <f>SUM($C$10:C96)</f>
        <v>-1992</v>
      </c>
      <c r="I96">
        <f>SUM($D$10:D96)</f>
        <v>72</v>
      </c>
      <c r="J96">
        <f>SUM($E$10:E96)</f>
        <v>-64</v>
      </c>
      <c r="K96">
        <f>SUM($F$10:F96)</f>
        <v>1984</v>
      </c>
    </row>
    <row r="97" spans="1:11">
      <c r="A97" s="18"/>
      <c r="B97">
        <v>2</v>
      </c>
      <c r="C97">
        <v>-8</v>
      </c>
      <c r="D97">
        <v>32</v>
      </c>
      <c r="E97">
        <v>-16</v>
      </c>
      <c r="F97">
        <v>-8</v>
      </c>
      <c r="G97" s="8">
        <f t="shared" si="2"/>
        <v>0</v>
      </c>
      <c r="H97">
        <f>SUM($C$10:C97)</f>
        <v>-2000</v>
      </c>
      <c r="I97">
        <f>SUM($D$10:D97)</f>
        <v>104</v>
      </c>
      <c r="J97">
        <f>SUM($E$10:E97)</f>
        <v>-80</v>
      </c>
      <c r="K97">
        <f>SUM($F$10:F97)</f>
        <v>1976</v>
      </c>
    </row>
    <row r="98" spans="1:11">
      <c r="A98" s="18"/>
      <c r="B98">
        <v>3</v>
      </c>
      <c r="C98">
        <v>-32</v>
      </c>
      <c r="D98">
        <v>96</v>
      </c>
      <c r="E98">
        <v>-32</v>
      </c>
      <c r="F98">
        <v>-32</v>
      </c>
      <c r="G98" s="8">
        <f t="shared" si="2"/>
        <v>0</v>
      </c>
      <c r="H98">
        <f>SUM($C$10:C98)</f>
        <v>-2032</v>
      </c>
      <c r="I98">
        <f>SUM($D$10:D98)</f>
        <v>200</v>
      </c>
      <c r="J98">
        <f>SUM($E$10:E98)</f>
        <v>-112</v>
      </c>
      <c r="K98">
        <f>SUM($F$10:F98)</f>
        <v>1944</v>
      </c>
    </row>
    <row r="99" spans="1:11">
      <c r="A99" s="18"/>
      <c r="B99">
        <v>4</v>
      </c>
      <c r="C99">
        <v>-32</v>
      </c>
      <c r="D99">
        <v>-16</v>
      </c>
      <c r="E99">
        <v>-16</v>
      </c>
      <c r="F99">
        <v>64</v>
      </c>
      <c r="G99" s="8">
        <f t="shared" si="2"/>
        <v>0</v>
      </c>
      <c r="H99">
        <f>SUM($C$10:C99)</f>
        <v>-2064</v>
      </c>
      <c r="I99">
        <f>SUM($D$10:D99)</f>
        <v>184</v>
      </c>
      <c r="J99">
        <f>SUM($E$10:E99)</f>
        <v>-128</v>
      </c>
      <c r="K99">
        <f>SUM($F$10:F99)</f>
        <v>2008</v>
      </c>
    </row>
    <row r="100" spans="1:11">
      <c r="A100" s="18"/>
      <c r="B100">
        <v>5</v>
      </c>
      <c r="C100">
        <v>-160</v>
      </c>
      <c r="D100">
        <v>-160</v>
      </c>
      <c r="E100">
        <v>480</v>
      </c>
      <c r="F100">
        <v>-160</v>
      </c>
      <c r="G100" s="8">
        <f t="shared" si="2"/>
        <v>0</v>
      </c>
      <c r="H100">
        <f>SUM($C$10:C100)</f>
        <v>-2224</v>
      </c>
      <c r="I100">
        <f>SUM($D$10:D100)</f>
        <v>24</v>
      </c>
      <c r="J100">
        <f>SUM($E$10:E100)</f>
        <v>352</v>
      </c>
      <c r="K100">
        <f>SUM($F$10:F100)</f>
        <v>1848</v>
      </c>
    </row>
    <row r="101" spans="1:11">
      <c r="A101" s="18"/>
      <c r="B101">
        <v>6</v>
      </c>
      <c r="C101">
        <v>-128</v>
      </c>
      <c r="D101">
        <v>-64</v>
      </c>
      <c r="E101">
        <v>-64</v>
      </c>
      <c r="F101">
        <v>256</v>
      </c>
      <c r="G101" s="8">
        <f t="shared" si="2"/>
        <v>0</v>
      </c>
      <c r="H101">
        <f>SUM($C$10:C101)</f>
        <v>-2352</v>
      </c>
      <c r="I101">
        <f>SUM($D$10:D101)</f>
        <v>-40</v>
      </c>
      <c r="J101">
        <f>SUM($E$10:E101)</f>
        <v>288</v>
      </c>
      <c r="K101">
        <f>SUM($F$10:F101)</f>
        <v>2104</v>
      </c>
    </row>
    <row r="102" spans="1:11">
      <c r="A102" s="18"/>
      <c r="B102">
        <v>7</v>
      </c>
      <c r="C102">
        <v>-32</v>
      </c>
      <c r="D102">
        <v>-64</v>
      </c>
      <c r="E102">
        <v>-32</v>
      </c>
      <c r="F102">
        <v>128</v>
      </c>
      <c r="G102" s="8">
        <f t="shared" si="2"/>
        <v>0</v>
      </c>
      <c r="H102">
        <f>SUM($C$10:C102)</f>
        <v>-2384</v>
      </c>
      <c r="I102">
        <f>SUM($D$10:D102)</f>
        <v>-104</v>
      </c>
      <c r="J102">
        <f>SUM($E$10:E102)</f>
        <v>256</v>
      </c>
      <c r="K102">
        <f>SUM($F$10:F102)</f>
        <v>2232</v>
      </c>
    </row>
    <row r="103" spans="1:11">
      <c r="A103" s="18"/>
      <c r="B103">
        <v>8</v>
      </c>
      <c r="C103">
        <v>-64</v>
      </c>
      <c r="D103">
        <v>-32</v>
      </c>
      <c r="E103">
        <v>-32</v>
      </c>
      <c r="F103">
        <v>128</v>
      </c>
      <c r="G103" s="8">
        <f t="shared" si="2"/>
        <v>0</v>
      </c>
      <c r="H103">
        <f>SUM($C$10:C103)</f>
        <v>-2448</v>
      </c>
      <c r="I103">
        <f>SUM($D$10:D103)</f>
        <v>-136</v>
      </c>
      <c r="J103">
        <f>SUM($E$10:E103)</f>
        <v>224</v>
      </c>
      <c r="K103">
        <f>SUM($F$10:F103)</f>
        <v>2360</v>
      </c>
    </row>
    <row r="104" spans="1:11">
      <c r="A104" s="18"/>
      <c r="B104">
        <v>9</v>
      </c>
      <c r="C104">
        <v>-16</v>
      </c>
      <c r="D104">
        <v>32</v>
      </c>
      <c r="E104">
        <v>-8</v>
      </c>
      <c r="F104">
        <v>-8</v>
      </c>
      <c r="G104" s="8">
        <f t="shared" si="2"/>
        <v>0</v>
      </c>
      <c r="H104">
        <f>SUM($C$10:C104)</f>
        <v>-2464</v>
      </c>
      <c r="I104">
        <f>SUM($D$10:D104)</f>
        <v>-104</v>
      </c>
      <c r="J104">
        <f>SUM($E$10:E104)</f>
        <v>216</v>
      </c>
      <c r="K104">
        <f>SUM($F$10:F104)</f>
        <v>2352</v>
      </c>
    </row>
    <row r="105" spans="1:11">
      <c r="A105" s="18"/>
      <c r="B105">
        <v>10</v>
      </c>
      <c r="C105">
        <v>-32</v>
      </c>
      <c r="D105">
        <v>-16</v>
      </c>
      <c r="E105">
        <v>64</v>
      </c>
      <c r="F105">
        <v>-16</v>
      </c>
      <c r="G105" s="8">
        <f t="shared" si="2"/>
        <v>0</v>
      </c>
      <c r="H105">
        <f>SUM($C$10:C105)</f>
        <v>-2496</v>
      </c>
      <c r="I105">
        <f>SUM($D$10:D105)</f>
        <v>-120</v>
      </c>
      <c r="J105">
        <f>SUM($E$10:E105)</f>
        <v>280</v>
      </c>
      <c r="K105">
        <f>SUM($F$10:F105)</f>
        <v>2336</v>
      </c>
    </row>
    <row r="106" spans="1:11">
      <c r="A106" s="18"/>
      <c r="B106">
        <v>11</v>
      </c>
      <c r="C106">
        <v>-32</v>
      </c>
      <c r="D106">
        <v>-16</v>
      </c>
      <c r="E106">
        <v>64</v>
      </c>
      <c r="F106">
        <v>-16</v>
      </c>
      <c r="G106" s="8">
        <f t="shared" si="2"/>
        <v>0</v>
      </c>
      <c r="H106">
        <f>SUM($C$10:C106)</f>
        <v>-2528</v>
      </c>
      <c r="I106">
        <f>SUM($D$10:D106)</f>
        <v>-136</v>
      </c>
      <c r="J106">
        <f>SUM($E$10:E106)</f>
        <v>344</v>
      </c>
      <c r="K106">
        <f>SUM($F$10:F106)</f>
        <v>2320</v>
      </c>
    </row>
    <row r="107" spans="1:11">
      <c r="A107" s="18"/>
      <c r="B107">
        <v>12</v>
      </c>
      <c r="C107">
        <v>-16</v>
      </c>
      <c r="D107">
        <v>-16</v>
      </c>
      <c r="E107">
        <v>64</v>
      </c>
      <c r="F107">
        <v>-32</v>
      </c>
      <c r="G107" s="8">
        <f t="shared" si="2"/>
        <v>0</v>
      </c>
      <c r="H107">
        <f>SUM($C$10:C107)</f>
        <v>-2544</v>
      </c>
      <c r="I107">
        <f>SUM($D$10:D107)</f>
        <v>-152</v>
      </c>
      <c r="J107">
        <f>SUM($E$10:E107)</f>
        <v>408</v>
      </c>
      <c r="K107">
        <f>SUM($F$10:F107)</f>
        <v>2288</v>
      </c>
    </row>
    <row r="108" spans="1:11">
      <c r="A108" s="19"/>
      <c r="B108" s="9">
        <v>13</v>
      </c>
      <c r="C108" s="9">
        <v>-32</v>
      </c>
      <c r="D108" s="9">
        <v>64</v>
      </c>
      <c r="E108" s="9">
        <v>-16</v>
      </c>
      <c r="F108" s="9">
        <v>-16</v>
      </c>
      <c r="G108" s="8">
        <f t="shared" si="2"/>
        <v>0</v>
      </c>
      <c r="H108">
        <f>SUM($C$10:C108)</f>
        <v>-2576</v>
      </c>
      <c r="I108">
        <f>SUM($D$10:D108)</f>
        <v>-88</v>
      </c>
      <c r="J108">
        <f>SUM($E$10:E108)</f>
        <v>392</v>
      </c>
      <c r="K108">
        <f>SUM($F$10:F108)</f>
        <v>2272</v>
      </c>
    </row>
    <row r="109" spans="1:11">
      <c r="C109">
        <v>-64</v>
      </c>
      <c r="D109">
        <v>-128</v>
      </c>
      <c r="E109">
        <v>-64</v>
      </c>
      <c r="F109">
        <v>256</v>
      </c>
      <c r="G109" s="8">
        <f t="shared" si="2"/>
        <v>0</v>
      </c>
    </row>
    <row r="110" spans="1:11">
      <c r="C110">
        <v>64</v>
      </c>
      <c r="D110">
        <v>-16</v>
      </c>
      <c r="E110">
        <v>-16</v>
      </c>
      <c r="F110">
        <v>-32</v>
      </c>
      <c r="G110" s="8">
        <f t="shared" si="2"/>
        <v>0</v>
      </c>
    </row>
    <row r="111" spans="1:11">
      <c r="C111">
        <v>-16</v>
      </c>
      <c r="D111">
        <v>-16</v>
      </c>
      <c r="E111">
        <v>64</v>
      </c>
      <c r="F111">
        <v>-32</v>
      </c>
      <c r="G111" s="8">
        <f t="shared" si="2"/>
        <v>0</v>
      </c>
    </row>
    <row r="112" spans="1:11">
      <c r="C112">
        <v>256</v>
      </c>
      <c r="D112">
        <v>-128</v>
      </c>
      <c r="E112">
        <v>-64</v>
      </c>
      <c r="F112">
        <v>-64</v>
      </c>
      <c r="G112" s="8">
        <f t="shared" si="2"/>
        <v>0</v>
      </c>
    </row>
    <row r="113" spans="3:7">
      <c r="C113">
        <v>-128</v>
      </c>
      <c r="D113">
        <v>384</v>
      </c>
      <c r="E113">
        <v>-128</v>
      </c>
      <c r="F113">
        <v>-128</v>
      </c>
      <c r="G113" s="8">
        <f t="shared" si="2"/>
        <v>0</v>
      </c>
    </row>
    <row r="114" spans="3:7">
      <c r="C114">
        <v>48</v>
      </c>
      <c r="D114">
        <v>-16</v>
      </c>
      <c r="E114">
        <v>-16</v>
      </c>
      <c r="F114">
        <v>-16</v>
      </c>
      <c r="G114" s="8">
        <f t="shared" si="2"/>
        <v>0</v>
      </c>
    </row>
    <row r="115" spans="3:7">
      <c r="C115">
        <v>-32</v>
      </c>
      <c r="D115">
        <v>-32</v>
      </c>
      <c r="E115">
        <v>128</v>
      </c>
      <c r="F115">
        <v>-64</v>
      </c>
      <c r="G115" s="8">
        <f t="shared" si="2"/>
        <v>0</v>
      </c>
    </row>
    <row r="116" spans="3:7">
      <c r="C116">
        <v>-128</v>
      </c>
      <c r="D116">
        <v>-64</v>
      </c>
      <c r="E116">
        <v>256</v>
      </c>
      <c r="F116">
        <v>-64</v>
      </c>
      <c r="G116" s="8">
        <f t="shared" si="2"/>
        <v>0</v>
      </c>
    </row>
    <row r="117" spans="3:7">
      <c r="C117">
        <v>96</v>
      </c>
      <c r="D117">
        <v>-32</v>
      </c>
      <c r="E117">
        <v>-32</v>
      </c>
      <c r="F117">
        <v>-32</v>
      </c>
      <c r="G117" s="8">
        <f t="shared" si="2"/>
        <v>0</v>
      </c>
    </row>
    <row r="118" spans="3:7">
      <c r="C118">
        <v>-16</v>
      </c>
      <c r="D118">
        <v>64</v>
      </c>
      <c r="E118">
        <v>-16</v>
      </c>
      <c r="F118">
        <v>-32</v>
      </c>
      <c r="G118" s="8">
        <f t="shared" si="2"/>
        <v>0</v>
      </c>
    </row>
    <row r="119" spans="3:7">
      <c r="C119">
        <v>-128</v>
      </c>
      <c r="D119">
        <v>-64</v>
      </c>
      <c r="E119">
        <v>-64</v>
      </c>
      <c r="F119">
        <v>256</v>
      </c>
      <c r="G119" s="8">
        <f t="shared" si="2"/>
        <v>0</v>
      </c>
    </row>
    <row r="120" spans="3:7">
      <c r="G120" s="8">
        <f t="shared" si="2"/>
        <v>0</v>
      </c>
    </row>
    <row r="121" spans="3:7">
      <c r="G121" s="8">
        <f t="shared" si="2"/>
        <v>0</v>
      </c>
    </row>
    <row r="122" spans="3:7">
      <c r="G122" s="8">
        <f t="shared" si="2"/>
        <v>0</v>
      </c>
    </row>
    <row r="123" spans="3:7">
      <c r="G123" s="8">
        <f t="shared" si="2"/>
        <v>0</v>
      </c>
    </row>
    <row r="124" spans="3:7">
      <c r="G124" s="8">
        <f t="shared" si="2"/>
        <v>0</v>
      </c>
    </row>
    <row r="125" spans="3:7">
      <c r="G125" s="8">
        <f t="shared" si="2"/>
        <v>0</v>
      </c>
    </row>
    <row r="126" spans="3:7">
      <c r="G126" s="8">
        <f t="shared" si="2"/>
        <v>0</v>
      </c>
    </row>
    <row r="127" spans="3:7">
      <c r="G127" s="8">
        <f t="shared" si="2"/>
        <v>0</v>
      </c>
    </row>
    <row r="128" spans="3:7">
      <c r="G128" s="8">
        <f t="shared" si="2"/>
        <v>0</v>
      </c>
    </row>
    <row r="129" spans="7:7">
      <c r="G129" s="8">
        <f t="shared" si="2"/>
        <v>0</v>
      </c>
    </row>
    <row r="130" spans="7:7">
      <c r="G130" s="8">
        <f t="shared" si="2"/>
        <v>0</v>
      </c>
    </row>
    <row r="131" spans="7:7">
      <c r="G131" s="8">
        <f t="shared" ref="G131:G146" si="3">SUM(C131:F131)</f>
        <v>0</v>
      </c>
    </row>
    <row r="132" spans="7:7">
      <c r="G132" s="8">
        <f t="shared" si="3"/>
        <v>0</v>
      </c>
    </row>
    <row r="133" spans="7:7">
      <c r="G133" s="8">
        <f t="shared" si="3"/>
        <v>0</v>
      </c>
    </row>
    <row r="134" spans="7:7">
      <c r="G134" s="8">
        <f t="shared" si="3"/>
        <v>0</v>
      </c>
    </row>
    <row r="135" spans="7:7">
      <c r="G135" s="8">
        <f t="shared" si="3"/>
        <v>0</v>
      </c>
    </row>
    <row r="136" spans="7:7">
      <c r="G136" s="8">
        <f t="shared" si="3"/>
        <v>0</v>
      </c>
    </row>
    <row r="137" spans="7:7">
      <c r="G137" s="8">
        <f t="shared" si="3"/>
        <v>0</v>
      </c>
    </row>
    <row r="138" spans="7:7">
      <c r="G138" s="8">
        <f t="shared" si="3"/>
        <v>0</v>
      </c>
    </row>
    <row r="139" spans="7:7">
      <c r="G139" s="8">
        <f t="shared" si="3"/>
        <v>0</v>
      </c>
    </row>
    <row r="140" spans="7:7">
      <c r="G140" s="8">
        <f t="shared" si="3"/>
        <v>0</v>
      </c>
    </row>
    <row r="141" spans="7:7">
      <c r="G141" s="8">
        <f t="shared" si="3"/>
        <v>0</v>
      </c>
    </row>
    <row r="142" spans="7:7">
      <c r="G142" s="8">
        <f t="shared" si="3"/>
        <v>0</v>
      </c>
    </row>
    <row r="143" spans="7:7">
      <c r="G143" s="8">
        <f t="shared" si="3"/>
        <v>0</v>
      </c>
    </row>
    <row r="144" spans="7:7">
      <c r="G144" s="8">
        <f t="shared" si="3"/>
        <v>0</v>
      </c>
    </row>
    <row r="145" spans="7:7">
      <c r="G145" s="8">
        <f t="shared" si="3"/>
        <v>0</v>
      </c>
    </row>
    <row r="146" spans="7:7">
      <c r="G146" s="8">
        <f t="shared" si="3"/>
        <v>0</v>
      </c>
    </row>
  </sheetData>
  <conditionalFormatting sqref="G2:G997">
    <cfRule type="cellIs" dxfId="11" priority="2" operator="notEqual">
      <formula>0</formula>
    </cfRule>
  </conditionalFormatting>
  <conditionalFormatting sqref="C2:F1000">
    <cfRule type="cellIs" dxfId="10" priority="1" operator="greaterThan">
      <formula>0</formula>
    </cfRule>
  </conditionalFormatting>
  <pageMargins left="0.7" right="0.7" top="0.75" bottom="0.75" header="0.3" footer="0.3"/>
  <legacy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A87A-6798-4908-9E42-1620C580D3B5}">
  <dimension ref="A1:R100"/>
  <sheetViews>
    <sheetView topLeftCell="E1" workbookViewId="0">
      <selection activeCell="O1" sqref="O1"/>
    </sheetView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O1" t="s">
        <v>0</v>
      </c>
      <c r="P1" t="s">
        <v>1</v>
      </c>
      <c r="Q1" t="s">
        <v>2</v>
      </c>
      <c r="R1" t="s">
        <v>3</v>
      </c>
    </row>
    <row r="2" spans="1:18">
      <c r="A2">
        <v>-16</v>
      </c>
      <c r="B2">
        <v>64</v>
      </c>
      <c r="C2">
        <v>-16</v>
      </c>
      <c r="D2">
        <v>-32</v>
      </c>
      <c r="O2">
        <v>-16</v>
      </c>
      <c r="P2">
        <v>64</v>
      </c>
      <c r="Q2">
        <v>-16</v>
      </c>
      <c r="R2">
        <v>-32</v>
      </c>
    </row>
    <row r="3" spans="1:18">
      <c r="A3">
        <v>-48</v>
      </c>
      <c r="B3">
        <v>48</v>
      </c>
      <c r="C3">
        <v>-32</v>
      </c>
      <c r="D3">
        <v>32</v>
      </c>
      <c r="O3">
        <v>-24</v>
      </c>
      <c r="P3">
        <v>24</v>
      </c>
      <c r="Q3">
        <v>-16</v>
      </c>
      <c r="R3">
        <v>16</v>
      </c>
    </row>
    <row r="4" spans="1:18">
      <c r="A4">
        <v>-64</v>
      </c>
      <c r="B4">
        <v>112</v>
      </c>
      <c r="C4">
        <v>-64</v>
      </c>
      <c r="D4">
        <v>16</v>
      </c>
      <c r="O4">
        <v>-21.333333333333332</v>
      </c>
      <c r="P4">
        <v>37.333333333333336</v>
      </c>
      <c r="Q4">
        <v>-21.333333333333332</v>
      </c>
      <c r="R4">
        <v>5.333333333333333</v>
      </c>
    </row>
    <row r="5" spans="1:18">
      <c r="A5">
        <v>-144</v>
      </c>
      <c r="B5">
        <v>32</v>
      </c>
      <c r="C5">
        <v>256</v>
      </c>
      <c r="D5">
        <v>-144</v>
      </c>
      <c r="O5">
        <v>-36</v>
      </c>
      <c r="P5">
        <v>8</v>
      </c>
      <c r="Q5">
        <v>64</v>
      </c>
      <c r="R5">
        <v>-36</v>
      </c>
    </row>
    <row r="6" spans="1:18">
      <c r="A6">
        <v>-80</v>
      </c>
      <c r="B6">
        <v>0</v>
      </c>
      <c r="C6">
        <v>240</v>
      </c>
      <c r="D6">
        <v>-160</v>
      </c>
      <c r="O6">
        <v>-16</v>
      </c>
      <c r="P6">
        <v>0</v>
      </c>
      <c r="Q6">
        <v>48</v>
      </c>
      <c r="R6">
        <v>-32</v>
      </c>
    </row>
    <row r="7" spans="1:18">
      <c r="A7">
        <v>-144</v>
      </c>
      <c r="B7">
        <v>-128</v>
      </c>
      <c r="C7">
        <v>176</v>
      </c>
      <c r="D7">
        <v>96</v>
      </c>
      <c r="O7">
        <v>-24</v>
      </c>
      <c r="P7">
        <v>-21.333333333333332</v>
      </c>
      <c r="Q7">
        <v>29.333333333333332</v>
      </c>
      <c r="R7">
        <v>16</v>
      </c>
    </row>
    <row r="8" spans="1:18">
      <c r="A8">
        <v>-208</v>
      </c>
      <c r="B8">
        <v>-192</v>
      </c>
      <c r="C8">
        <v>48</v>
      </c>
      <c r="D8">
        <v>352</v>
      </c>
      <c r="O8">
        <v>-29.714285714285715</v>
      </c>
      <c r="P8">
        <v>-27.428571428571427</v>
      </c>
      <c r="Q8">
        <v>6.8571428571428568</v>
      </c>
      <c r="R8">
        <v>50.285714285714285</v>
      </c>
    </row>
    <row r="9" spans="1:18">
      <c r="A9">
        <v>-224</v>
      </c>
      <c r="B9">
        <v>-128</v>
      </c>
      <c r="C9">
        <v>32</v>
      </c>
      <c r="D9">
        <v>320</v>
      </c>
      <c r="O9">
        <v>-28</v>
      </c>
      <c r="P9">
        <v>-16</v>
      </c>
      <c r="Q9">
        <v>4</v>
      </c>
      <c r="R9">
        <v>40</v>
      </c>
    </row>
    <row r="10" spans="1:18">
      <c r="A10">
        <v>-240</v>
      </c>
      <c r="B10">
        <v>-160</v>
      </c>
      <c r="C10">
        <v>96</v>
      </c>
      <c r="D10">
        <v>304</v>
      </c>
      <c r="O10">
        <v>-26.666666666666668</v>
      </c>
      <c r="P10">
        <v>-17.777777777777779</v>
      </c>
      <c r="Q10">
        <v>10.666666666666666</v>
      </c>
      <c r="R10">
        <v>33.777777777777779</v>
      </c>
    </row>
    <row r="11" spans="1:18">
      <c r="A11">
        <v>-248</v>
      </c>
      <c r="B11">
        <v>-176</v>
      </c>
      <c r="C11">
        <v>128</v>
      </c>
      <c r="D11">
        <v>296</v>
      </c>
      <c r="O11">
        <v>-24.8</v>
      </c>
      <c r="P11">
        <v>-17.600000000000001</v>
      </c>
      <c r="Q11">
        <v>12.8</v>
      </c>
      <c r="R11">
        <v>29.6</v>
      </c>
    </row>
    <row r="12" spans="1:18">
      <c r="A12">
        <v>-264</v>
      </c>
      <c r="B12">
        <v>-208</v>
      </c>
      <c r="C12">
        <v>192</v>
      </c>
      <c r="D12">
        <v>280</v>
      </c>
      <c r="O12">
        <v>-24</v>
      </c>
      <c r="P12">
        <v>-18.90909090909091</v>
      </c>
      <c r="Q12">
        <v>17.454545454545453</v>
      </c>
      <c r="R12">
        <v>25.454545454545453</v>
      </c>
    </row>
    <row r="13" spans="1:18">
      <c r="A13">
        <v>-200</v>
      </c>
      <c r="B13">
        <v>-240</v>
      </c>
      <c r="C13">
        <v>176</v>
      </c>
      <c r="D13">
        <v>264</v>
      </c>
      <c r="O13">
        <v>-16.666666666666668</v>
      </c>
      <c r="P13">
        <v>-20</v>
      </c>
      <c r="Q13">
        <v>14.666666666666666</v>
      </c>
      <c r="R13">
        <v>22</v>
      </c>
    </row>
    <row r="14" spans="1:18">
      <c r="A14">
        <v>-232</v>
      </c>
      <c r="B14">
        <v>-256</v>
      </c>
      <c r="C14">
        <v>160</v>
      </c>
      <c r="D14">
        <v>328</v>
      </c>
      <c r="O14">
        <v>-17.846153846153847</v>
      </c>
      <c r="P14">
        <v>-19.692307692307693</v>
      </c>
      <c r="Q14">
        <v>12.307692307692308</v>
      </c>
      <c r="R14">
        <v>25.23076923076923</v>
      </c>
    </row>
    <row r="15" spans="1:18">
      <c r="A15">
        <v>-296</v>
      </c>
      <c r="B15">
        <v>0</v>
      </c>
      <c r="C15">
        <v>32</v>
      </c>
      <c r="D15">
        <v>264</v>
      </c>
      <c r="O15">
        <v>-21.142857142857142</v>
      </c>
      <c r="P15">
        <v>0</v>
      </c>
      <c r="Q15">
        <v>2.2857142857142856</v>
      </c>
      <c r="R15">
        <v>18.857142857142858</v>
      </c>
    </row>
    <row r="16" spans="1:18">
      <c r="A16">
        <v>-304</v>
      </c>
      <c r="B16">
        <v>32</v>
      </c>
      <c r="C16">
        <v>24</v>
      </c>
      <c r="D16">
        <v>248</v>
      </c>
      <c r="O16">
        <v>-20.266666666666666</v>
      </c>
      <c r="P16">
        <v>2.1333333333333333</v>
      </c>
      <c r="Q16">
        <v>1.6</v>
      </c>
      <c r="R16">
        <v>16.533333333333335</v>
      </c>
    </row>
    <row r="17" spans="1:18">
      <c r="A17">
        <v>-624</v>
      </c>
      <c r="B17">
        <v>-288</v>
      </c>
      <c r="C17">
        <v>-296</v>
      </c>
      <c r="D17">
        <v>1208</v>
      </c>
      <c r="O17">
        <v>-39</v>
      </c>
      <c r="P17">
        <v>-18</v>
      </c>
      <c r="Q17">
        <v>-18.5</v>
      </c>
      <c r="R17">
        <v>75.5</v>
      </c>
    </row>
    <row r="18" spans="1:18">
      <c r="A18">
        <v>-688</v>
      </c>
      <c r="B18">
        <v>-352</v>
      </c>
      <c r="C18">
        <v>-424</v>
      </c>
      <c r="D18">
        <v>1464</v>
      </c>
      <c r="O18">
        <v>-40.470588235294116</v>
      </c>
      <c r="P18">
        <v>-20.705882352941178</v>
      </c>
      <c r="Q18">
        <v>-24.941176470588236</v>
      </c>
      <c r="R18">
        <v>86.117647058823536</v>
      </c>
    </row>
    <row r="19" spans="1:18">
      <c r="A19">
        <v>-432</v>
      </c>
      <c r="B19">
        <v>-416</v>
      </c>
      <c r="C19">
        <v>-552</v>
      </c>
      <c r="D19">
        <v>1400</v>
      </c>
      <c r="O19">
        <v>-24</v>
      </c>
      <c r="P19">
        <v>-23.111111111111111</v>
      </c>
      <c r="Q19">
        <v>-30.666666666666668</v>
      </c>
      <c r="R19">
        <v>77.777777777777771</v>
      </c>
    </row>
    <row r="20" spans="1:18">
      <c r="A20">
        <v>-464</v>
      </c>
      <c r="B20">
        <v>-432</v>
      </c>
      <c r="C20">
        <v>-488</v>
      </c>
      <c r="D20">
        <v>1384</v>
      </c>
      <c r="O20">
        <v>-24.421052631578949</v>
      </c>
      <c r="P20">
        <v>-22.736842105263158</v>
      </c>
      <c r="Q20">
        <v>-25.684210526315791</v>
      </c>
      <c r="R20">
        <v>72.84210526315789</v>
      </c>
    </row>
    <row r="21" spans="1:18">
      <c r="A21">
        <v>-528</v>
      </c>
      <c r="B21">
        <v>-496</v>
      </c>
      <c r="C21">
        <v>-296</v>
      </c>
      <c r="D21">
        <v>1320</v>
      </c>
      <c r="O21">
        <v>-26.4</v>
      </c>
      <c r="P21">
        <v>-24.8</v>
      </c>
      <c r="Q21">
        <v>-14.8</v>
      </c>
      <c r="R21">
        <v>66</v>
      </c>
    </row>
    <row r="22" spans="1:18">
      <c r="A22">
        <v>-592</v>
      </c>
      <c r="B22">
        <v>-560</v>
      </c>
      <c r="C22">
        <v>-104</v>
      </c>
      <c r="D22">
        <v>1256</v>
      </c>
      <c r="O22">
        <v>-28.19047619047619</v>
      </c>
      <c r="P22">
        <v>-26.666666666666668</v>
      </c>
      <c r="Q22">
        <v>-4.9523809523809526</v>
      </c>
      <c r="R22">
        <v>59.80952380952381</v>
      </c>
    </row>
    <row r="23" spans="1:18">
      <c r="A23">
        <v>-912</v>
      </c>
      <c r="B23">
        <v>-880</v>
      </c>
      <c r="C23">
        <v>856</v>
      </c>
      <c r="D23">
        <v>936</v>
      </c>
      <c r="O23">
        <v>-41.454545454545453</v>
      </c>
      <c r="P23">
        <v>-40</v>
      </c>
      <c r="Q23">
        <v>38.909090909090907</v>
      </c>
      <c r="R23">
        <v>42.545454545454547</v>
      </c>
    </row>
    <row r="24" spans="1:18">
      <c r="A24">
        <v>-928</v>
      </c>
      <c r="B24">
        <v>-816</v>
      </c>
      <c r="C24">
        <v>840</v>
      </c>
      <c r="D24">
        <v>904</v>
      </c>
      <c r="O24">
        <v>-40.347826086956523</v>
      </c>
      <c r="P24">
        <v>-35.478260869565219</v>
      </c>
      <c r="Q24">
        <v>36.521739130434781</v>
      </c>
      <c r="R24">
        <v>39.304347826086953</v>
      </c>
    </row>
    <row r="25" spans="1:18">
      <c r="A25">
        <v>-960</v>
      </c>
      <c r="B25">
        <v>-880</v>
      </c>
      <c r="C25">
        <v>968</v>
      </c>
      <c r="D25">
        <v>872</v>
      </c>
      <c r="O25">
        <v>-40</v>
      </c>
      <c r="P25">
        <v>-36.666666666666664</v>
      </c>
      <c r="Q25">
        <v>40.333333333333336</v>
      </c>
      <c r="R25">
        <v>36.333333333333336</v>
      </c>
    </row>
    <row r="26" spans="1:18">
      <c r="A26">
        <v>-1120</v>
      </c>
      <c r="B26">
        <v>-1040</v>
      </c>
      <c r="C26">
        <v>808</v>
      </c>
      <c r="D26">
        <v>1352</v>
      </c>
      <c r="O26">
        <v>-44.8</v>
      </c>
      <c r="P26">
        <v>-41.6</v>
      </c>
      <c r="Q26">
        <v>32.32</v>
      </c>
      <c r="R26">
        <v>54.08</v>
      </c>
    </row>
    <row r="27" spans="1:18">
      <c r="A27">
        <v>-1248</v>
      </c>
      <c r="B27">
        <v>-1168</v>
      </c>
      <c r="C27">
        <v>680</v>
      </c>
      <c r="D27">
        <v>1736</v>
      </c>
      <c r="O27">
        <v>-48</v>
      </c>
      <c r="P27">
        <v>-44.92307692307692</v>
      </c>
      <c r="Q27">
        <v>26.153846153846153</v>
      </c>
      <c r="R27">
        <v>66.769230769230774</v>
      </c>
    </row>
    <row r="28" spans="1:18">
      <c r="A28">
        <v>-1312</v>
      </c>
      <c r="B28">
        <v>-912</v>
      </c>
      <c r="C28">
        <v>552</v>
      </c>
      <c r="D28">
        <v>1672</v>
      </c>
      <c r="O28">
        <v>-48.592592592592595</v>
      </c>
      <c r="P28">
        <v>-33.777777777777779</v>
      </c>
      <c r="Q28">
        <v>20.444444444444443</v>
      </c>
      <c r="R28">
        <v>61.925925925925924</v>
      </c>
    </row>
    <row r="29" spans="1:18">
      <c r="A29">
        <v>-1248</v>
      </c>
      <c r="B29">
        <v>-944</v>
      </c>
      <c r="C29">
        <v>536</v>
      </c>
      <c r="D29">
        <v>1656</v>
      </c>
      <c r="O29">
        <v>-44.571428571428569</v>
      </c>
      <c r="P29">
        <v>-33.714285714285715</v>
      </c>
      <c r="Q29">
        <v>19.142857142857142</v>
      </c>
      <c r="R29">
        <v>59.142857142857146</v>
      </c>
    </row>
    <row r="30" spans="1:18">
      <c r="A30">
        <v>-1312</v>
      </c>
      <c r="B30">
        <v>-1008</v>
      </c>
      <c r="C30">
        <v>792</v>
      </c>
      <c r="D30">
        <v>1528</v>
      </c>
      <c r="O30">
        <v>-45.241379310344826</v>
      </c>
      <c r="P30">
        <v>-34.758620689655174</v>
      </c>
      <c r="Q30">
        <v>27.310344827586206</v>
      </c>
      <c r="R30">
        <v>52.689655172413794</v>
      </c>
    </row>
    <row r="31" spans="1:18">
      <c r="A31">
        <v>-1472</v>
      </c>
      <c r="B31">
        <v>-1088</v>
      </c>
      <c r="C31">
        <v>712</v>
      </c>
      <c r="D31">
        <v>1848</v>
      </c>
      <c r="O31">
        <v>-49.06666666666667</v>
      </c>
      <c r="P31">
        <v>-36.266666666666666</v>
      </c>
      <c r="Q31">
        <v>23.733333333333334</v>
      </c>
      <c r="R31">
        <v>61.6</v>
      </c>
    </row>
    <row r="32" spans="1:18">
      <c r="A32">
        <v>-1488</v>
      </c>
      <c r="B32">
        <v>-1024</v>
      </c>
      <c r="C32">
        <v>680</v>
      </c>
      <c r="D32">
        <v>1832</v>
      </c>
      <c r="O32">
        <v>-48</v>
      </c>
      <c r="P32">
        <v>-33.032258064516128</v>
      </c>
      <c r="Q32">
        <v>21.93548387096774</v>
      </c>
      <c r="R32">
        <v>59.096774193548384</v>
      </c>
    </row>
    <row r="33" spans="1:18">
      <c r="A33">
        <v>-1520</v>
      </c>
      <c r="B33">
        <v>-1056</v>
      </c>
      <c r="C33">
        <v>808</v>
      </c>
      <c r="D33">
        <v>1768</v>
      </c>
      <c r="O33">
        <v>-47.5</v>
      </c>
      <c r="P33">
        <v>-33</v>
      </c>
      <c r="Q33">
        <v>25.25</v>
      </c>
      <c r="R33">
        <v>55.25</v>
      </c>
    </row>
    <row r="34" spans="1:18">
      <c r="A34">
        <v>-1584</v>
      </c>
      <c r="B34">
        <v>-800</v>
      </c>
      <c r="C34">
        <v>680</v>
      </c>
      <c r="D34">
        <v>1704</v>
      </c>
      <c r="O34">
        <v>-48</v>
      </c>
      <c r="P34">
        <v>-24.242424242424242</v>
      </c>
      <c r="Q34">
        <v>20.606060606060606</v>
      </c>
      <c r="R34">
        <v>51.636363636363633</v>
      </c>
    </row>
    <row r="35" spans="1:18">
      <c r="A35">
        <v>-944</v>
      </c>
      <c r="B35">
        <v>-1120</v>
      </c>
      <c r="C35">
        <v>520</v>
      </c>
      <c r="D35">
        <v>1544</v>
      </c>
      <c r="O35">
        <v>-27.764705882352942</v>
      </c>
      <c r="P35">
        <v>-32.941176470588232</v>
      </c>
      <c r="Q35">
        <v>15.294117647058824</v>
      </c>
      <c r="R35">
        <v>45.411764705882355</v>
      </c>
    </row>
    <row r="36" spans="1:18">
      <c r="A36">
        <v>-976</v>
      </c>
      <c r="B36">
        <v>-1152</v>
      </c>
      <c r="C36">
        <v>616</v>
      </c>
      <c r="D36">
        <v>1512</v>
      </c>
      <c r="O36">
        <v>-27.885714285714286</v>
      </c>
      <c r="P36">
        <v>-32.914285714285711</v>
      </c>
      <c r="Q36">
        <v>17.600000000000001</v>
      </c>
      <c r="R36">
        <v>43.2</v>
      </c>
    </row>
    <row r="37" spans="1:18">
      <c r="A37">
        <v>-992</v>
      </c>
      <c r="B37">
        <v>-1104</v>
      </c>
      <c r="C37">
        <v>600</v>
      </c>
      <c r="D37">
        <v>1496</v>
      </c>
      <c r="O37">
        <v>-27.555555555555557</v>
      </c>
      <c r="P37">
        <v>-30.666666666666668</v>
      </c>
      <c r="Q37">
        <v>16.666666666666668</v>
      </c>
      <c r="R37">
        <v>41.555555555555557</v>
      </c>
    </row>
    <row r="38" spans="1:18">
      <c r="A38">
        <v>-864</v>
      </c>
      <c r="B38">
        <v>-1136</v>
      </c>
      <c r="C38">
        <v>568</v>
      </c>
      <c r="D38">
        <v>1432</v>
      </c>
      <c r="O38">
        <v>-23.351351351351351</v>
      </c>
      <c r="P38">
        <v>-30.702702702702702</v>
      </c>
      <c r="Q38">
        <v>15.351351351351351</v>
      </c>
      <c r="R38">
        <v>38.702702702702702</v>
      </c>
    </row>
    <row r="39" spans="1:18">
      <c r="A39">
        <v>-872</v>
      </c>
      <c r="B39">
        <v>-1144</v>
      </c>
      <c r="C39">
        <v>552</v>
      </c>
      <c r="D39">
        <v>1464</v>
      </c>
      <c r="O39">
        <v>-22.94736842105263</v>
      </c>
      <c r="P39">
        <v>-30.105263157894736</v>
      </c>
      <c r="Q39">
        <v>14.526315789473685</v>
      </c>
      <c r="R39">
        <v>38.526315789473685</v>
      </c>
    </row>
    <row r="40" spans="1:18">
      <c r="A40">
        <v>-552</v>
      </c>
      <c r="B40">
        <v>-1224</v>
      </c>
      <c r="C40">
        <v>392</v>
      </c>
      <c r="D40">
        <v>1384</v>
      </c>
      <c r="O40">
        <v>-14.153846153846153</v>
      </c>
      <c r="P40">
        <v>-31.384615384615383</v>
      </c>
      <c r="Q40">
        <v>10.051282051282051</v>
      </c>
      <c r="R40">
        <v>35.487179487179489</v>
      </c>
    </row>
    <row r="41" spans="1:18">
      <c r="A41">
        <v>-712</v>
      </c>
      <c r="B41">
        <v>-744</v>
      </c>
      <c r="C41">
        <v>232</v>
      </c>
      <c r="D41">
        <v>1224</v>
      </c>
      <c r="O41">
        <v>-17.8</v>
      </c>
      <c r="P41">
        <v>-18.600000000000001</v>
      </c>
      <c r="Q41">
        <v>5.8</v>
      </c>
      <c r="R41">
        <v>30.6</v>
      </c>
    </row>
    <row r="42" spans="1:18">
      <c r="A42">
        <v>-664</v>
      </c>
      <c r="B42">
        <v>-760</v>
      </c>
      <c r="C42">
        <v>216</v>
      </c>
      <c r="D42">
        <v>1208</v>
      </c>
      <c r="O42">
        <v>-16.195121951219512</v>
      </c>
      <c r="P42">
        <v>-18.536585365853657</v>
      </c>
      <c r="Q42">
        <v>5.2682926829268295</v>
      </c>
      <c r="R42">
        <v>29.463414634146343</v>
      </c>
    </row>
    <row r="43" spans="1:18">
      <c r="A43">
        <v>-792</v>
      </c>
      <c r="B43">
        <v>-888</v>
      </c>
      <c r="C43">
        <v>88</v>
      </c>
      <c r="D43">
        <v>1592</v>
      </c>
      <c r="O43">
        <v>-18.857142857142858</v>
      </c>
      <c r="P43">
        <v>-21.142857142857142</v>
      </c>
      <c r="Q43">
        <v>2.0952380952380953</v>
      </c>
      <c r="R43">
        <v>37.904761904761905</v>
      </c>
    </row>
    <row r="44" spans="1:18">
      <c r="A44">
        <v>-728</v>
      </c>
      <c r="B44">
        <v>-920</v>
      </c>
      <c r="C44">
        <v>72</v>
      </c>
      <c r="D44">
        <v>1576</v>
      </c>
      <c r="O44">
        <v>-16.930232558139537</v>
      </c>
      <c r="P44">
        <v>-21.395348837209301</v>
      </c>
      <c r="Q44">
        <v>1.6744186046511629</v>
      </c>
      <c r="R44">
        <v>36.651162790697676</v>
      </c>
    </row>
    <row r="45" spans="1:18">
      <c r="A45">
        <v>-472</v>
      </c>
      <c r="B45">
        <v>-1048</v>
      </c>
      <c r="C45">
        <v>8</v>
      </c>
      <c r="D45">
        <v>1512</v>
      </c>
      <c r="O45">
        <v>-10.727272727272727</v>
      </c>
      <c r="P45">
        <v>-23.818181818181817</v>
      </c>
      <c r="Q45">
        <v>0.18181818181818182</v>
      </c>
      <c r="R45">
        <v>34.363636363636367</v>
      </c>
    </row>
    <row r="46" spans="1:18">
      <c r="A46">
        <v>-632</v>
      </c>
      <c r="B46">
        <v>-1208</v>
      </c>
      <c r="C46">
        <v>488</v>
      </c>
      <c r="D46">
        <v>1352</v>
      </c>
      <c r="O46">
        <v>-14.044444444444444</v>
      </c>
      <c r="P46">
        <v>-26.844444444444445</v>
      </c>
      <c r="Q46">
        <v>10.844444444444445</v>
      </c>
      <c r="R46">
        <v>30.044444444444444</v>
      </c>
    </row>
    <row r="47" spans="1:18">
      <c r="A47">
        <v>-648</v>
      </c>
      <c r="B47">
        <v>-1144</v>
      </c>
      <c r="C47">
        <v>472</v>
      </c>
      <c r="D47">
        <v>1320</v>
      </c>
      <c r="O47">
        <v>-14.086956521739131</v>
      </c>
      <c r="P47">
        <v>-24.869565217391305</v>
      </c>
      <c r="Q47">
        <v>10.260869565217391</v>
      </c>
      <c r="R47">
        <v>28.695652173913043</v>
      </c>
    </row>
    <row r="48" spans="1:18">
      <c r="A48">
        <v>-456</v>
      </c>
      <c r="B48">
        <v>-1208</v>
      </c>
      <c r="C48">
        <v>408</v>
      </c>
      <c r="D48">
        <v>1256</v>
      </c>
      <c r="O48">
        <v>-9.7021276595744688</v>
      </c>
      <c r="P48">
        <v>-25.702127659574469</v>
      </c>
      <c r="Q48">
        <v>8.6808510638297864</v>
      </c>
      <c r="R48">
        <v>26.723404255319149</v>
      </c>
    </row>
    <row r="49" spans="1:18">
      <c r="A49">
        <v>-472</v>
      </c>
      <c r="B49">
        <v>-1144</v>
      </c>
      <c r="C49">
        <v>392</v>
      </c>
      <c r="D49">
        <v>1224</v>
      </c>
      <c r="O49">
        <v>-9.8333333333333339</v>
      </c>
      <c r="P49">
        <v>-23.833333333333332</v>
      </c>
      <c r="Q49">
        <v>8.1666666666666661</v>
      </c>
      <c r="R49">
        <v>25.5</v>
      </c>
    </row>
    <row r="50" spans="1:18">
      <c r="A50">
        <v>-600</v>
      </c>
      <c r="B50">
        <v>-1272</v>
      </c>
      <c r="C50">
        <v>264</v>
      </c>
      <c r="D50">
        <v>1608</v>
      </c>
      <c r="O50">
        <v>-12.244897959183673</v>
      </c>
      <c r="P50">
        <v>-25.959183673469386</v>
      </c>
      <c r="Q50">
        <v>5.3877551020408161</v>
      </c>
      <c r="R50">
        <v>32.816326530612244</v>
      </c>
    </row>
    <row r="51" spans="1:18">
      <c r="A51">
        <v>-616</v>
      </c>
      <c r="B51">
        <v>-1208</v>
      </c>
      <c r="C51">
        <v>232</v>
      </c>
      <c r="D51">
        <v>1592</v>
      </c>
      <c r="O51">
        <v>-12.32</v>
      </c>
      <c r="P51">
        <v>-24.16</v>
      </c>
      <c r="Q51">
        <v>4.6399999999999997</v>
      </c>
      <c r="R51">
        <v>31.84</v>
      </c>
    </row>
    <row r="52" spans="1:18">
      <c r="A52">
        <v>-552</v>
      </c>
      <c r="B52">
        <v>-1240</v>
      </c>
      <c r="C52">
        <v>216</v>
      </c>
      <c r="D52">
        <v>1576</v>
      </c>
      <c r="O52">
        <v>-10.823529411764707</v>
      </c>
      <c r="P52">
        <v>-24.313725490196077</v>
      </c>
      <c r="Q52">
        <v>4.2352941176470589</v>
      </c>
      <c r="R52">
        <v>30.901960784313726</v>
      </c>
    </row>
    <row r="53" spans="1:18">
      <c r="A53">
        <v>-584</v>
      </c>
      <c r="B53">
        <v>-1272</v>
      </c>
      <c r="C53">
        <v>184</v>
      </c>
      <c r="D53">
        <v>1672</v>
      </c>
      <c r="O53">
        <v>-11.23076923076923</v>
      </c>
      <c r="P53">
        <v>-24.46153846153846</v>
      </c>
      <c r="Q53">
        <v>3.5384615384615383</v>
      </c>
      <c r="R53">
        <v>32.153846153846153</v>
      </c>
    </row>
    <row r="54" spans="1:18">
      <c r="A54">
        <v>-520</v>
      </c>
      <c r="B54">
        <v>-1288</v>
      </c>
      <c r="C54">
        <v>152</v>
      </c>
      <c r="D54">
        <v>1656</v>
      </c>
      <c r="O54">
        <v>-9.8113207547169807</v>
      </c>
      <c r="P54">
        <v>-24.30188679245283</v>
      </c>
      <c r="Q54">
        <v>2.8679245283018866</v>
      </c>
      <c r="R54">
        <v>31.245283018867923</v>
      </c>
    </row>
    <row r="55" spans="1:18">
      <c r="A55">
        <v>-528</v>
      </c>
      <c r="B55">
        <v>-1296</v>
      </c>
      <c r="C55">
        <v>184</v>
      </c>
      <c r="D55">
        <v>1640</v>
      </c>
      <c r="O55">
        <v>-9.7777777777777786</v>
      </c>
      <c r="P55">
        <v>-24</v>
      </c>
      <c r="Q55">
        <v>3.4074074074074074</v>
      </c>
      <c r="R55">
        <v>30.37037037037037</v>
      </c>
    </row>
    <row r="56" spans="1:18">
      <c r="A56">
        <v>-536</v>
      </c>
      <c r="B56">
        <v>-1304</v>
      </c>
      <c r="C56">
        <v>216</v>
      </c>
      <c r="D56">
        <v>1624</v>
      </c>
      <c r="O56">
        <v>-9.745454545454546</v>
      </c>
      <c r="P56">
        <v>-23.709090909090911</v>
      </c>
      <c r="Q56">
        <v>3.9272727272727272</v>
      </c>
      <c r="R56">
        <v>29.527272727272727</v>
      </c>
    </row>
    <row r="57" spans="1:18">
      <c r="A57">
        <v>-600</v>
      </c>
      <c r="B57">
        <v>-1432</v>
      </c>
      <c r="C57">
        <v>152</v>
      </c>
      <c r="D57">
        <v>1880</v>
      </c>
      <c r="O57">
        <v>-10.714285714285714</v>
      </c>
      <c r="P57">
        <v>-25.571428571428573</v>
      </c>
      <c r="Q57">
        <v>2.7142857142857144</v>
      </c>
      <c r="R57">
        <v>33.571428571428569</v>
      </c>
    </row>
    <row r="58" spans="1:18">
      <c r="A58">
        <v>-616</v>
      </c>
      <c r="B58">
        <v>-1448</v>
      </c>
      <c r="C58">
        <v>120</v>
      </c>
      <c r="D58">
        <v>1944</v>
      </c>
      <c r="O58">
        <v>-10.807017543859649</v>
      </c>
      <c r="P58">
        <v>-25.403508771929825</v>
      </c>
      <c r="Q58">
        <v>2.1052631578947367</v>
      </c>
      <c r="R58">
        <v>34.10526315789474</v>
      </c>
    </row>
    <row r="59" spans="1:18">
      <c r="A59">
        <v>-744</v>
      </c>
      <c r="B59">
        <v>-1192</v>
      </c>
      <c r="C59">
        <v>56</v>
      </c>
      <c r="D59">
        <v>1880</v>
      </c>
      <c r="O59">
        <v>-12.827586206896552</v>
      </c>
      <c r="P59">
        <v>-20.551724137931036</v>
      </c>
      <c r="Q59">
        <v>0.96551724137931039</v>
      </c>
      <c r="R59">
        <v>32.413793103448278</v>
      </c>
    </row>
    <row r="60" spans="1:18">
      <c r="A60">
        <v>-872</v>
      </c>
      <c r="B60">
        <v>-1256</v>
      </c>
      <c r="C60">
        <v>-8</v>
      </c>
      <c r="D60">
        <v>2136</v>
      </c>
      <c r="O60">
        <v>-14.779661016949152</v>
      </c>
      <c r="P60">
        <v>-21.288135593220339</v>
      </c>
      <c r="Q60">
        <v>-0.13559322033898305</v>
      </c>
      <c r="R60">
        <v>36.203389830508478</v>
      </c>
    </row>
    <row r="61" spans="1:18">
      <c r="A61">
        <v>-888</v>
      </c>
      <c r="B61">
        <v>-1264</v>
      </c>
      <c r="C61">
        <v>-16</v>
      </c>
      <c r="D61">
        <v>2168</v>
      </c>
      <c r="O61">
        <v>-14.8</v>
      </c>
      <c r="P61">
        <v>-21.066666666666666</v>
      </c>
      <c r="Q61">
        <v>-0.26666666666666666</v>
      </c>
      <c r="R61">
        <v>36.133333333333333</v>
      </c>
    </row>
    <row r="62" spans="1:18">
      <c r="A62">
        <v>-792</v>
      </c>
      <c r="B62">
        <v>-1296</v>
      </c>
      <c r="C62">
        <v>-48</v>
      </c>
      <c r="D62">
        <v>2136</v>
      </c>
      <c r="O62">
        <v>-12.983606557377049</v>
      </c>
      <c r="P62">
        <v>-21.245901639344261</v>
      </c>
      <c r="Q62">
        <v>-0.78688524590163933</v>
      </c>
      <c r="R62">
        <v>35.016393442622949</v>
      </c>
    </row>
    <row r="63" spans="1:18">
      <c r="A63">
        <v>-824</v>
      </c>
      <c r="B63">
        <v>-1328</v>
      </c>
      <c r="C63">
        <v>-80</v>
      </c>
      <c r="D63">
        <v>2232</v>
      </c>
      <c r="O63">
        <v>-13.290322580645162</v>
      </c>
      <c r="P63">
        <v>-21.419354838709676</v>
      </c>
      <c r="Q63">
        <v>-1.2903225806451613</v>
      </c>
      <c r="R63">
        <v>36</v>
      </c>
    </row>
    <row r="64" spans="1:18">
      <c r="A64">
        <v>-856</v>
      </c>
      <c r="B64">
        <v>-1360</v>
      </c>
      <c r="C64">
        <v>16</v>
      </c>
      <c r="D64">
        <v>2200</v>
      </c>
      <c r="O64">
        <v>-13.587301587301587</v>
      </c>
      <c r="P64">
        <v>-21.587301587301589</v>
      </c>
      <c r="Q64">
        <v>0.25396825396825395</v>
      </c>
      <c r="R64">
        <v>34.920634920634917</v>
      </c>
    </row>
    <row r="65" spans="1:18">
      <c r="A65">
        <v>-936</v>
      </c>
      <c r="B65">
        <v>-1040</v>
      </c>
      <c r="C65">
        <v>-144</v>
      </c>
      <c r="D65">
        <v>2120</v>
      </c>
      <c r="O65">
        <v>-14.625</v>
      </c>
      <c r="P65">
        <v>-16.25</v>
      </c>
      <c r="Q65">
        <v>-2.25</v>
      </c>
      <c r="R65">
        <v>33.125</v>
      </c>
    </row>
    <row r="66" spans="1:18">
      <c r="A66">
        <v>-952</v>
      </c>
      <c r="B66">
        <v>-1056</v>
      </c>
      <c r="C66">
        <v>-176</v>
      </c>
      <c r="D66">
        <v>2184</v>
      </c>
      <c r="O66">
        <v>-14.646153846153846</v>
      </c>
      <c r="P66">
        <v>-16.246153846153845</v>
      </c>
      <c r="Q66">
        <v>-2.7076923076923078</v>
      </c>
      <c r="R66">
        <v>33.6</v>
      </c>
    </row>
    <row r="67" spans="1:18">
      <c r="A67">
        <v>-1080</v>
      </c>
      <c r="B67">
        <v>-800</v>
      </c>
      <c r="C67">
        <v>-240</v>
      </c>
      <c r="D67">
        <v>2120</v>
      </c>
      <c r="O67">
        <v>-16.363636363636363</v>
      </c>
      <c r="P67">
        <v>-12.121212121212121</v>
      </c>
      <c r="Q67">
        <v>-3.6363636363636362</v>
      </c>
      <c r="R67">
        <v>32.121212121212125</v>
      </c>
    </row>
    <row r="68" spans="1:18">
      <c r="A68">
        <v>-824</v>
      </c>
      <c r="B68">
        <v>-864</v>
      </c>
      <c r="C68">
        <v>-368</v>
      </c>
      <c r="D68">
        <v>2056</v>
      </c>
      <c r="O68">
        <v>-12.298507462686567</v>
      </c>
      <c r="P68">
        <v>-12.895522388059701</v>
      </c>
      <c r="Q68">
        <v>-5.4925373134328357</v>
      </c>
      <c r="R68">
        <v>30.686567164179106</v>
      </c>
    </row>
    <row r="69" spans="1:18">
      <c r="A69">
        <v>-888</v>
      </c>
      <c r="B69">
        <v>-928</v>
      </c>
      <c r="C69">
        <v>-496</v>
      </c>
      <c r="D69">
        <v>2312</v>
      </c>
      <c r="O69">
        <v>-13.058823529411764</v>
      </c>
      <c r="P69">
        <v>-13.647058823529411</v>
      </c>
      <c r="Q69">
        <v>-7.2941176470588234</v>
      </c>
      <c r="R69">
        <v>34</v>
      </c>
    </row>
    <row r="70" spans="1:18">
      <c r="A70">
        <v>-1016</v>
      </c>
      <c r="B70">
        <v>-1056</v>
      </c>
      <c r="C70">
        <v>-624</v>
      </c>
      <c r="D70">
        <v>2696</v>
      </c>
      <c r="O70">
        <v>-14.72463768115942</v>
      </c>
      <c r="P70">
        <v>-15.304347826086957</v>
      </c>
      <c r="Q70">
        <v>-9.0434782608695645</v>
      </c>
      <c r="R70">
        <v>39.072463768115945</v>
      </c>
    </row>
    <row r="71" spans="1:18">
      <c r="A71">
        <v>-1048</v>
      </c>
      <c r="B71">
        <v>-1120</v>
      </c>
      <c r="C71">
        <v>-496</v>
      </c>
      <c r="D71">
        <v>2664</v>
      </c>
      <c r="O71">
        <v>-14.971428571428572</v>
      </c>
      <c r="P71">
        <v>-16</v>
      </c>
      <c r="Q71">
        <v>-7.0857142857142854</v>
      </c>
      <c r="R71">
        <v>38.057142857142857</v>
      </c>
    </row>
    <row r="72" spans="1:18">
      <c r="A72">
        <v>-1064</v>
      </c>
      <c r="B72">
        <v>-1128</v>
      </c>
      <c r="C72">
        <v>-464</v>
      </c>
      <c r="D72">
        <v>2656</v>
      </c>
      <c r="O72">
        <v>-14.985915492957746</v>
      </c>
      <c r="P72">
        <v>-15.887323943661972</v>
      </c>
      <c r="Q72">
        <v>-6.535211267605634</v>
      </c>
      <c r="R72">
        <v>37.408450704225352</v>
      </c>
    </row>
    <row r="73" spans="1:18">
      <c r="A73">
        <v>-1384</v>
      </c>
      <c r="B73">
        <v>-168</v>
      </c>
      <c r="C73">
        <v>-784</v>
      </c>
      <c r="D73">
        <v>2336</v>
      </c>
      <c r="O73">
        <v>-19.222222222222221</v>
      </c>
      <c r="P73">
        <v>-2.3333333333333335</v>
      </c>
      <c r="Q73">
        <v>-10.888888888888889</v>
      </c>
      <c r="R73">
        <v>32.444444444444443</v>
      </c>
    </row>
    <row r="74" spans="1:18">
      <c r="A74">
        <v>-1400</v>
      </c>
      <c r="B74">
        <v>-104</v>
      </c>
      <c r="C74">
        <v>-800</v>
      </c>
      <c r="D74">
        <v>2304</v>
      </c>
      <c r="O74">
        <v>-19.17808219178082</v>
      </c>
      <c r="P74">
        <v>-1.4246575342465753</v>
      </c>
      <c r="Q74">
        <v>-10.95890410958904</v>
      </c>
      <c r="R74">
        <v>31.561643835616437</v>
      </c>
    </row>
    <row r="75" spans="1:18">
      <c r="A75">
        <v>-1528</v>
      </c>
      <c r="B75">
        <v>152</v>
      </c>
      <c r="C75">
        <v>-864</v>
      </c>
      <c r="D75">
        <v>2240</v>
      </c>
      <c r="O75">
        <v>-20.648648648648649</v>
      </c>
      <c r="P75">
        <v>2.0540540540540539</v>
      </c>
      <c r="Q75">
        <v>-11.675675675675675</v>
      </c>
      <c r="R75">
        <v>30.27027027027027</v>
      </c>
    </row>
    <row r="76" spans="1:18">
      <c r="A76">
        <v>-1656</v>
      </c>
      <c r="B76">
        <v>536</v>
      </c>
      <c r="C76">
        <v>-992</v>
      </c>
      <c r="D76">
        <v>2112</v>
      </c>
      <c r="O76">
        <v>-22.08</v>
      </c>
      <c r="P76">
        <v>7.1466666666666665</v>
      </c>
      <c r="Q76">
        <v>-13.226666666666667</v>
      </c>
      <c r="R76">
        <v>28.16</v>
      </c>
    </row>
    <row r="77" spans="1:18">
      <c r="A77">
        <v>-1688</v>
      </c>
      <c r="B77">
        <v>520</v>
      </c>
      <c r="C77">
        <v>-928</v>
      </c>
      <c r="D77">
        <v>2096</v>
      </c>
      <c r="O77">
        <v>-22.210526315789473</v>
      </c>
      <c r="P77">
        <v>6.8421052631578947</v>
      </c>
      <c r="Q77">
        <v>-12.210526315789474</v>
      </c>
      <c r="R77">
        <v>27.578947368421051</v>
      </c>
    </row>
    <row r="78" spans="1:18">
      <c r="A78">
        <v>-1816</v>
      </c>
      <c r="B78">
        <v>456</v>
      </c>
      <c r="C78">
        <v>-672</v>
      </c>
      <c r="D78">
        <v>2032</v>
      </c>
      <c r="O78">
        <v>-23.584415584415584</v>
      </c>
      <c r="P78">
        <v>5.9220779220779223</v>
      </c>
      <c r="Q78">
        <v>-8.7272727272727266</v>
      </c>
      <c r="R78">
        <v>26.38961038961039</v>
      </c>
    </row>
    <row r="79" spans="1:18">
      <c r="A79">
        <v>-1832</v>
      </c>
      <c r="B79">
        <v>520</v>
      </c>
      <c r="C79">
        <v>-704</v>
      </c>
      <c r="D79">
        <v>2016</v>
      </c>
      <c r="O79">
        <v>-23.487179487179485</v>
      </c>
      <c r="P79">
        <v>6.666666666666667</v>
      </c>
      <c r="Q79">
        <v>-9.0256410256410255</v>
      </c>
      <c r="R79">
        <v>25.846153846153847</v>
      </c>
    </row>
    <row r="80" spans="1:18">
      <c r="A80">
        <v>-1960</v>
      </c>
      <c r="B80">
        <v>392</v>
      </c>
      <c r="C80">
        <v>-320</v>
      </c>
      <c r="D80">
        <v>1888</v>
      </c>
      <c r="O80">
        <v>-24.810126582278482</v>
      </c>
      <c r="P80">
        <v>4.962025316455696</v>
      </c>
      <c r="Q80">
        <v>-4.0506329113924053</v>
      </c>
      <c r="R80">
        <v>23.898734177215189</v>
      </c>
    </row>
    <row r="81" spans="1:18">
      <c r="A81">
        <v>-2024</v>
      </c>
      <c r="B81">
        <v>328</v>
      </c>
      <c r="C81">
        <v>-128</v>
      </c>
      <c r="D81">
        <v>1824</v>
      </c>
      <c r="O81">
        <v>-25.3</v>
      </c>
      <c r="P81">
        <v>4.0999999999999996</v>
      </c>
      <c r="Q81">
        <v>-1.6</v>
      </c>
      <c r="R81">
        <v>22.8</v>
      </c>
    </row>
    <row r="82" spans="1:18">
      <c r="A82">
        <v>-2088</v>
      </c>
      <c r="B82">
        <v>456</v>
      </c>
      <c r="C82">
        <v>-160</v>
      </c>
      <c r="D82">
        <v>1792</v>
      </c>
      <c r="O82">
        <v>-25.777777777777779</v>
      </c>
      <c r="P82">
        <v>5.6296296296296298</v>
      </c>
      <c r="Q82">
        <v>-1.9753086419753085</v>
      </c>
      <c r="R82">
        <v>22.123456790123456</v>
      </c>
    </row>
    <row r="83" spans="1:18">
      <c r="A83">
        <v>-2120</v>
      </c>
      <c r="B83">
        <v>424</v>
      </c>
      <c r="C83">
        <v>-32</v>
      </c>
      <c r="D83">
        <v>1728</v>
      </c>
      <c r="O83">
        <v>-25.853658536585368</v>
      </c>
      <c r="P83">
        <v>5.1707317073170733</v>
      </c>
      <c r="Q83">
        <v>-0.3902439024390244</v>
      </c>
      <c r="R83">
        <v>21.073170731707318</v>
      </c>
    </row>
    <row r="84" spans="1:18">
      <c r="A84">
        <v>-2056</v>
      </c>
      <c r="B84">
        <v>392</v>
      </c>
      <c r="C84">
        <v>-48</v>
      </c>
      <c r="D84">
        <v>1712</v>
      </c>
      <c r="O84">
        <v>-24.771084337349397</v>
      </c>
      <c r="P84">
        <v>4.7228915662650603</v>
      </c>
      <c r="Q84">
        <v>-0.57831325301204817</v>
      </c>
      <c r="R84">
        <v>20.626506024096386</v>
      </c>
    </row>
    <row r="85" spans="1:18">
      <c r="A85">
        <v>-2088</v>
      </c>
      <c r="B85">
        <v>360</v>
      </c>
      <c r="C85">
        <v>-80</v>
      </c>
      <c r="D85">
        <v>1808</v>
      </c>
      <c r="O85">
        <v>-24.857142857142858</v>
      </c>
      <c r="P85">
        <v>4.2857142857142856</v>
      </c>
      <c r="Q85">
        <v>-0.95238095238095233</v>
      </c>
      <c r="R85">
        <v>21.523809523809526</v>
      </c>
    </row>
    <row r="86" spans="1:18">
      <c r="A86">
        <v>-2152</v>
      </c>
      <c r="B86">
        <v>232</v>
      </c>
      <c r="C86">
        <v>176</v>
      </c>
      <c r="D86">
        <v>1744</v>
      </c>
      <c r="O86">
        <v>-25.317647058823528</v>
      </c>
      <c r="P86">
        <v>2.7294117647058824</v>
      </c>
      <c r="Q86">
        <v>2.0705882352941178</v>
      </c>
      <c r="R86">
        <v>20.517647058823531</v>
      </c>
    </row>
    <row r="87" spans="1:18">
      <c r="A87">
        <v>-1832</v>
      </c>
      <c r="B87">
        <v>152</v>
      </c>
      <c r="C87">
        <v>16</v>
      </c>
      <c r="D87">
        <v>1664</v>
      </c>
      <c r="O87">
        <v>-21.302325581395348</v>
      </c>
      <c r="P87">
        <v>1.7674418604651163</v>
      </c>
      <c r="Q87">
        <v>0.18604651162790697</v>
      </c>
      <c r="R87">
        <v>19.348837209302324</v>
      </c>
    </row>
    <row r="88" spans="1:18">
      <c r="A88">
        <v>-1992</v>
      </c>
      <c r="B88">
        <v>72</v>
      </c>
      <c r="C88">
        <v>-64</v>
      </c>
      <c r="D88">
        <v>1984</v>
      </c>
      <c r="O88">
        <v>-22.896551724137932</v>
      </c>
      <c r="P88">
        <v>0.82758620689655171</v>
      </c>
      <c r="Q88">
        <v>-0.73563218390804597</v>
      </c>
      <c r="R88">
        <v>22.804597701149426</v>
      </c>
    </row>
    <row r="89" spans="1:18">
      <c r="A89">
        <v>-2000</v>
      </c>
      <c r="B89">
        <v>104</v>
      </c>
      <c r="C89">
        <v>-80</v>
      </c>
      <c r="D89">
        <v>1976</v>
      </c>
      <c r="O89">
        <v>-22.727272727272727</v>
      </c>
      <c r="P89">
        <v>1.1818181818181819</v>
      </c>
      <c r="Q89">
        <v>-0.90909090909090906</v>
      </c>
      <c r="R89">
        <v>22.454545454545453</v>
      </c>
    </row>
    <row r="90" spans="1:18">
      <c r="A90">
        <v>-2032</v>
      </c>
      <c r="B90">
        <v>200</v>
      </c>
      <c r="C90">
        <v>-112</v>
      </c>
      <c r="D90">
        <v>1944</v>
      </c>
      <c r="O90">
        <v>-22.831460674157302</v>
      </c>
      <c r="P90">
        <v>2.2471910112359552</v>
      </c>
      <c r="Q90">
        <v>-1.2584269662921348</v>
      </c>
      <c r="R90">
        <v>21.842696629213481</v>
      </c>
    </row>
    <row r="91" spans="1:18">
      <c r="A91">
        <v>-2064</v>
      </c>
      <c r="B91">
        <v>184</v>
      </c>
      <c r="C91">
        <v>-128</v>
      </c>
      <c r="D91">
        <v>2008</v>
      </c>
      <c r="O91">
        <v>-22.933333333333334</v>
      </c>
      <c r="P91">
        <v>2.0444444444444443</v>
      </c>
      <c r="Q91">
        <v>-1.4222222222222223</v>
      </c>
      <c r="R91">
        <v>22.31111111111111</v>
      </c>
    </row>
    <row r="92" spans="1:18">
      <c r="A92">
        <v>-2224</v>
      </c>
      <c r="B92">
        <v>24</v>
      </c>
      <c r="C92">
        <v>352</v>
      </c>
      <c r="D92">
        <v>1848</v>
      </c>
      <c r="O92">
        <v>-24.439560439560438</v>
      </c>
      <c r="P92">
        <v>0.26373626373626374</v>
      </c>
      <c r="Q92">
        <v>3.8681318681318682</v>
      </c>
      <c r="R92">
        <v>20.307692307692307</v>
      </c>
    </row>
    <row r="93" spans="1:18">
      <c r="A93">
        <v>-2352</v>
      </c>
      <c r="B93">
        <v>-40</v>
      </c>
      <c r="C93">
        <v>288</v>
      </c>
      <c r="D93">
        <v>2104</v>
      </c>
      <c r="O93">
        <v>-25.565217391304348</v>
      </c>
      <c r="P93">
        <v>-0.43478260869565216</v>
      </c>
      <c r="Q93">
        <v>3.1304347826086958</v>
      </c>
      <c r="R93">
        <v>22.869565217391305</v>
      </c>
    </row>
    <row r="94" spans="1:18">
      <c r="A94">
        <v>-2384</v>
      </c>
      <c r="B94">
        <v>-104</v>
      </c>
      <c r="C94">
        <v>256</v>
      </c>
      <c r="D94">
        <v>2232</v>
      </c>
      <c r="O94">
        <v>-25.634408602150536</v>
      </c>
      <c r="P94">
        <v>-1.118279569892473</v>
      </c>
      <c r="Q94">
        <v>2.752688172043011</v>
      </c>
      <c r="R94">
        <v>24</v>
      </c>
    </row>
    <row r="95" spans="1:18">
      <c r="A95">
        <v>-2448</v>
      </c>
      <c r="B95">
        <v>-136</v>
      </c>
      <c r="C95">
        <v>224</v>
      </c>
      <c r="D95">
        <v>2360</v>
      </c>
      <c r="O95">
        <v>-26.042553191489361</v>
      </c>
      <c r="P95">
        <v>-1.446808510638298</v>
      </c>
      <c r="Q95">
        <v>2.3829787234042552</v>
      </c>
      <c r="R95">
        <v>25.106382978723403</v>
      </c>
    </row>
    <row r="96" spans="1:18">
      <c r="A96">
        <v>-2464</v>
      </c>
      <c r="B96">
        <v>-104</v>
      </c>
      <c r="C96">
        <v>216</v>
      </c>
      <c r="D96">
        <v>2352</v>
      </c>
      <c r="O96">
        <v>-25.936842105263157</v>
      </c>
      <c r="P96">
        <v>-1.0947368421052632</v>
      </c>
      <c r="Q96">
        <v>2.2736842105263158</v>
      </c>
      <c r="R96">
        <v>24.757894736842104</v>
      </c>
    </row>
    <row r="97" spans="1:18">
      <c r="A97">
        <v>-2496</v>
      </c>
      <c r="B97">
        <v>-120</v>
      </c>
      <c r="C97">
        <v>280</v>
      </c>
      <c r="D97">
        <v>2336</v>
      </c>
      <c r="O97">
        <v>-26</v>
      </c>
      <c r="P97">
        <v>-1.25</v>
      </c>
      <c r="Q97">
        <v>2.9166666666666665</v>
      </c>
      <c r="R97">
        <v>24.333333333333332</v>
      </c>
    </row>
    <row r="98" spans="1:18">
      <c r="A98">
        <v>-2528</v>
      </c>
      <c r="B98">
        <v>-136</v>
      </c>
      <c r="C98">
        <v>344</v>
      </c>
      <c r="D98">
        <v>2320</v>
      </c>
      <c r="O98">
        <v>-26.061855670103093</v>
      </c>
      <c r="P98">
        <v>-1.402061855670103</v>
      </c>
      <c r="Q98">
        <v>3.5463917525773194</v>
      </c>
      <c r="R98">
        <v>23.917525773195877</v>
      </c>
    </row>
    <row r="99" spans="1:18">
      <c r="A99">
        <v>-2544</v>
      </c>
      <c r="B99">
        <v>-152</v>
      </c>
      <c r="C99">
        <v>408</v>
      </c>
      <c r="D99">
        <v>2288</v>
      </c>
      <c r="O99">
        <v>-25.959183673469386</v>
      </c>
      <c r="P99">
        <v>-1.5510204081632653</v>
      </c>
      <c r="Q99">
        <v>4.1632653061224492</v>
      </c>
      <c r="R99">
        <v>23.346938775510203</v>
      </c>
    </row>
    <row r="100" spans="1:18">
      <c r="A100">
        <v>-2576</v>
      </c>
      <c r="B100">
        <v>-88</v>
      </c>
      <c r="C100">
        <v>392</v>
      </c>
      <c r="D100">
        <v>2272</v>
      </c>
      <c r="O100">
        <v>-26.020202020202021</v>
      </c>
      <c r="P100">
        <v>-0.88888888888888884</v>
      </c>
      <c r="Q100">
        <v>3.9595959595959598</v>
      </c>
      <c r="R100">
        <v>22.949494949494948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2024-12-18T18:05:36Z</dcterms:created>
  <dcterms:modified xsi:type="dcterms:W3CDTF">2025-11-08T19:05:23Z</dcterms:modified>
  <cp:category/>
  <cp:contentStatus/>
</cp:coreProperties>
</file>